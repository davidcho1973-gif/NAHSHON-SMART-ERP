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13e760e8f9bfa7c/Desktop/주방공사_기성/9월기성/"/>
    </mc:Choice>
  </mc:AlternateContent>
  <xr:revisionPtr revIDLastSave="0" documentId="8_{488A4E18-BBCD-481D-83D1-AA1BCBDD366F}" xr6:coauthVersionLast="47" xr6:coauthVersionMax="47" xr10:uidLastSave="{00000000-0000-0000-0000-000000000000}"/>
  <bookViews>
    <workbookView xWindow="28680" yWindow="-120" windowWidth="29040" windowHeight="15720" activeTab="2" xr2:uid="{00000000-000D-0000-FFFF-FFFF00000000}"/>
  </bookViews>
  <sheets>
    <sheet name="1_PROGRESS PAYMENT" sheetId="1" r:id="rId1"/>
    <sheet name="2_APPLICATION" sheetId="41" r:id="rId2"/>
    <sheet name="3_CONTINUATION SHEET" sheetId="42" r:id="rId3"/>
  </sheets>
  <definedNames>
    <definedName name="_xlnm.Print_Area" localSheetId="0">'1_PROGRESS PAYMENT'!$B$5:$M$43</definedName>
    <definedName name="_xlnm.Print_Area" localSheetId="1">'2_APPLICATION'!$A$1:$N$49</definedName>
    <definedName name="_xlnm.Print_Area" localSheetId="2">'3_CONTINUATION SHEET'!$B$1:$U$489</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88" i="42" l="1"/>
  <c r="P487" i="42"/>
  <c r="S487" i="42" s="1"/>
  <c r="J487" i="42"/>
  <c r="K487" i="42" s="1"/>
  <c r="W486" i="42"/>
  <c r="W484" i="42"/>
  <c r="P483" i="42"/>
  <c r="S483" i="42" s="1"/>
  <c r="J483" i="42"/>
  <c r="O483" i="42" s="1"/>
  <c r="P482" i="42"/>
  <c r="S482" i="42" s="1"/>
  <c r="J482" i="42"/>
  <c r="K482" i="42" s="1"/>
  <c r="P481" i="42"/>
  <c r="S481" i="42" s="1"/>
  <c r="J481" i="42"/>
  <c r="O481" i="42" s="1"/>
  <c r="P480" i="42"/>
  <c r="J480" i="42"/>
  <c r="O480" i="42" s="1"/>
  <c r="P479" i="42"/>
  <c r="S479" i="42" s="1"/>
  <c r="J479" i="42"/>
  <c r="O479" i="42" s="1"/>
  <c r="P478" i="42"/>
  <c r="S478" i="42" s="1"/>
  <c r="J478" i="42"/>
  <c r="O478" i="42" s="1"/>
  <c r="W477" i="42"/>
  <c r="W475" i="42"/>
  <c r="P474" i="42"/>
  <c r="S474" i="42" s="1"/>
  <c r="J474" i="42"/>
  <c r="O474" i="42" s="1"/>
  <c r="P473" i="42"/>
  <c r="S473" i="42" s="1"/>
  <c r="J473" i="42"/>
  <c r="O473" i="42" s="1"/>
  <c r="P472" i="42"/>
  <c r="S472" i="42" s="1"/>
  <c r="J472" i="42"/>
  <c r="S471" i="42"/>
  <c r="P471" i="42"/>
  <c r="Q471" i="42" s="1"/>
  <c r="O471" i="42"/>
  <c r="M471" i="42"/>
  <c r="W471" i="42" s="1"/>
  <c r="K471" i="42"/>
  <c r="J471" i="42"/>
  <c r="P470" i="42"/>
  <c r="S470" i="42" s="1"/>
  <c r="J470" i="42"/>
  <c r="M470" i="42" s="1"/>
  <c r="W470" i="42" s="1"/>
  <c r="P469" i="42"/>
  <c r="S469" i="42" s="1"/>
  <c r="J469" i="42"/>
  <c r="O469" i="42" s="1"/>
  <c r="P468" i="42"/>
  <c r="S468" i="42" s="1"/>
  <c r="J468" i="42"/>
  <c r="M468" i="42" s="1"/>
  <c r="W468" i="42" s="1"/>
  <c r="P467" i="42"/>
  <c r="S467" i="42" s="1"/>
  <c r="J467" i="42"/>
  <c r="K467" i="42" s="1"/>
  <c r="P466" i="42"/>
  <c r="S466" i="42" s="1"/>
  <c r="J466" i="42"/>
  <c r="Q466" i="42" s="1"/>
  <c r="P465" i="42"/>
  <c r="S465" i="42" s="1"/>
  <c r="J465" i="42"/>
  <c r="O465" i="42" s="1"/>
  <c r="P464" i="42"/>
  <c r="S464" i="42" s="1"/>
  <c r="J464" i="42"/>
  <c r="O464" i="42" s="1"/>
  <c r="P463" i="42"/>
  <c r="S463" i="42" s="1"/>
  <c r="J463" i="42"/>
  <c r="O463" i="42" s="1"/>
  <c r="P462" i="42"/>
  <c r="S462" i="42" s="1"/>
  <c r="K462" i="42"/>
  <c r="J462" i="42"/>
  <c r="M462" i="42" s="1"/>
  <c r="W462" i="42" s="1"/>
  <c r="P461" i="42"/>
  <c r="S461" i="42" s="1"/>
  <c r="J461" i="42"/>
  <c r="O461" i="42" s="1"/>
  <c r="P460" i="42"/>
  <c r="S460" i="42" s="1"/>
  <c r="J460" i="42"/>
  <c r="W459" i="42"/>
  <c r="W457" i="42"/>
  <c r="P456" i="42"/>
  <c r="S456" i="42" s="1"/>
  <c r="K456" i="42"/>
  <c r="J456" i="42"/>
  <c r="O456" i="42" s="1"/>
  <c r="A456" i="42"/>
  <c r="P455" i="42"/>
  <c r="S455" i="42" s="1"/>
  <c r="J455" i="42"/>
  <c r="O455" i="42" s="1"/>
  <c r="A455" i="42"/>
  <c r="P454" i="42"/>
  <c r="J454" i="42"/>
  <c r="M454" i="42" s="1"/>
  <c r="A454" i="42"/>
  <c r="P453" i="42"/>
  <c r="S453" i="42" s="1"/>
  <c r="J453" i="42"/>
  <c r="A453" i="42"/>
  <c r="P452" i="42"/>
  <c r="S452" i="42" s="1"/>
  <c r="J452" i="42"/>
  <c r="A452" i="42"/>
  <c r="P451" i="42"/>
  <c r="J451" i="42"/>
  <c r="A451" i="42"/>
  <c r="P450" i="42"/>
  <c r="S450" i="42" s="1"/>
  <c r="J450" i="42"/>
  <c r="A450" i="42"/>
  <c r="P449" i="42"/>
  <c r="S449" i="42" s="1"/>
  <c r="M449" i="42"/>
  <c r="W449" i="42" s="1"/>
  <c r="K449" i="42"/>
  <c r="J449" i="42"/>
  <c r="O449" i="42" s="1"/>
  <c r="A449" i="42"/>
  <c r="P448" i="42"/>
  <c r="J448" i="42"/>
  <c r="O448" i="42" s="1"/>
  <c r="A448" i="42"/>
  <c r="P447" i="42"/>
  <c r="J447" i="42"/>
  <c r="M447" i="42" s="1"/>
  <c r="W447" i="42" s="1"/>
  <c r="A447" i="42"/>
  <c r="P446" i="42"/>
  <c r="S446" i="42" s="1"/>
  <c r="J446" i="42"/>
  <c r="A446" i="42"/>
  <c r="P445" i="42"/>
  <c r="Q445" i="42" s="1"/>
  <c r="O445" i="42"/>
  <c r="K445" i="42"/>
  <c r="J445" i="42"/>
  <c r="M445" i="42" s="1"/>
  <c r="W445" i="42" s="1"/>
  <c r="A445" i="42"/>
  <c r="P444" i="42"/>
  <c r="J444" i="42"/>
  <c r="K444" i="42" s="1"/>
  <c r="A444" i="42"/>
  <c r="P443" i="42"/>
  <c r="J443" i="42"/>
  <c r="M443" i="42" s="1"/>
  <c r="W443" i="42" s="1"/>
  <c r="A443" i="42"/>
  <c r="P442" i="42"/>
  <c r="S442" i="42" s="1"/>
  <c r="J442" i="42"/>
  <c r="Q442" i="42" s="1"/>
  <c r="A442" i="42"/>
  <c r="S441" i="42"/>
  <c r="P441" i="42"/>
  <c r="Q441" i="42" s="1"/>
  <c r="J441" i="42"/>
  <c r="O441" i="42" s="1"/>
  <c r="A441" i="42"/>
  <c r="W440" i="42"/>
  <c r="W438" i="42"/>
  <c r="P437" i="42"/>
  <c r="S437" i="42" s="1"/>
  <c r="J437" i="42"/>
  <c r="M437" i="42" s="1"/>
  <c r="P436" i="42"/>
  <c r="Q436" i="42" s="1"/>
  <c r="O436" i="42"/>
  <c r="M436" i="42"/>
  <c r="J436" i="42"/>
  <c r="K436" i="42" s="1"/>
  <c r="P435" i="42"/>
  <c r="J435" i="42"/>
  <c r="O435" i="42" s="1"/>
  <c r="P434" i="42"/>
  <c r="Q434" i="42" s="1"/>
  <c r="J434" i="42"/>
  <c r="M434" i="42" s="1"/>
  <c r="P433" i="42"/>
  <c r="S433" i="42" s="1"/>
  <c r="J433" i="42"/>
  <c r="O433" i="42" s="1"/>
  <c r="P432" i="42"/>
  <c r="J432" i="42"/>
  <c r="S431" i="42"/>
  <c r="P431" i="42"/>
  <c r="Q431" i="42" s="1"/>
  <c r="O431" i="42"/>
  <c r="J431" i="42"/>
  <c r="M431" i="42" s="1"/>
  <c r="W431" i="42" s="1"/>
  <c r="P430" i="42"/>
  <c r="Q430" i="42" s="1"/>
  <c r="O430" i="42"/>
  <c r="M430" i="42"/>
  <c r="W430" i="42" s="1"/>
  <c r="J430" i="42"/>
  <c r="K430" i="42" s="1"/>
  <c r="P429" i="42"/>
  <c r="J429" i="42"/>
  <c r="P428" i="42"/>
  <c r="S428" i="42" s="1"/>
  <c r="J428" i="42"/>
  <c r="P427" i="42"/>
  <c r="K427" i="42"/>
  <c r="J427" i="42"/>
  <c r="P426" i="42"/>
  <c r="J426" i="42"/>
  <c r="P425" i="42"/>
  <c r="S425" i="42" s="1"/>
  <c r="J425" i="42"/>
  <c r="P424" i="42"/>
  <c r="O424" i="42"/>
  <c r="M424" i="42"/>
  <c r="K424" i="42"/>
  <c r="J424" i="42"/>
  <c r="P423" i="42"/>
  <c r="J423" i="42"/>
  <c r="M423" i="42" s="1"/>
  <c r="P422" i="42"/>
  <c r="S422" i="42" s="1"/>
  <c r="J422" i="42"/>
  <c r="O422" i="42" s="1"/>
  <c r="P421" i="42"/>
  <c r="J421" i="42"/>
  <c r="S420" i="42"/>
  <c r="P420" i="42"/>
  <c r="J420" i="42"/>
  <c r="M420" i="42" s="1"/>
  <c r="W420" i="42" s="1"/>
  <c r="P419" i="42"/>
  <c r="S419" i="42" s="1"/>
  <c r="J419" i="42"/>
  <c r="O419" i="42" s="1"/>
  <c r="S418" i="42"/>
  <c r="P418" i="42"/>
  <c r="O418" i="42"/>
  <c r="J418" i="42"/>
  <c r="M418" i="42" s="1"/>
  <c r="P417" i="42"/>
  <c r="S417" i="42" s="1"/>
  <c r="K417" i="42"/>
  <c r="J417" i="42"/>
  <c r="O417" i="42" s="1"/>
  <c r="P416" i="42"/>
  <c r="S416" i="42" s="1"/>
  <c r="J416" i="42"/>
  <c r="P415" i="42"/>
  <c r="S415" i="42" s="1"/>
  <c r="J415" i="42"/>
  <c r="M415" i="42" s="1"/>
  <c r="P414" i="42"/>
  <c r="J414" i="42"/>
  <c r="K414" i="42" s="1"/>
  <c r="P413" i="42"/>
  <c r="S413" i="42" s="1"/>
  <c r="K413" i="42"/>
  <c r="J413" i="42"/>
  <c r="M413" i="42" s="1"/>
  <c r="W412" i="42"/>
  <c r="W410" i="42"/>
  <c r="P409" i="42"/>
  <c r="K409" i="42"/>
  <c r="J409" i="42"/>
  <c r="M409" i="42" s="1"/>
  <c r="A409" i="42"/>
  <c r="P408" i="42"/>
  <c r="J408" i="42"/>
  <c r="K408" i="42" s="1"/>
  <c r="A408" i="42"/>
  <c r="P407" i="42"/>
  <c r="S407" i="42" s="1"/>
  <c r="O407" i="42"/>
  <c r="J407" i="42"/>
  <c r="M407" i="42" s="1"/>
  <c r="A407" i="42"/>
  <c r="P406" i="42"/>
  <c r="S406" i="42" s="1"/>
  <c r="K406" i="42"/>
  <c r="J406" i="42"/>
  <c r="O406" i="42" s="1"/>
  <c r="A406" i="42"/>
  <c r="P405" i="42"/>
  <c r="J405" i="42"/>
  <c r="K405" i="42" s="1"/>
  <c r="A405" i="42"/>
  <c r="P404" i="42"/>
  <c r="S404" i="42" s="1"/>
  <c r="O404" i="42"/>
  <c r="K404" i="42"/>
  <c r="J404" i="42"/>
  <c r="M404" i="42" s="1"/>
  <c r="A404" i="42"/>
  <c r="P403" i="42"/>
  <c r="Q403" i="42" s="1"/>
  <c r="J403" i="42"/>
  <c r="M403" i="42" s="1"/>
  <c r="A403" i="42"/>
  <c r="S402" i="42"/>
  <c r="P402" i="42"/>
  <c r="K402" i="42"/>
  <c r="J402" i="42"/>
  <c r="A402" i="42"/>
  <c r="P401" i="42"/>
  <c r="S401" i="42" s="1"/>
  <c r="J401" i="42"/>
  <c r="M401" i="42" s="1"/>
  <c r="A401" i="42"/>
  <c r="P400" i="42"/>
  <c r="J400" i="42"/>
  <c r="A400" i="42"/>
  <c r="P399" i="42"/>
  <c r="M399" i="42"/>
  <c r="J399" i="42"/>
  <c r="O399" i="42" s="1"/>
  <c r="A399" i="42"/>
  <c r="P398" i="42"/>
  <c r="M398" i="42"/>
  <c r="J398" i="42"/>
  <c r="K398" i="42" s="1"/>
  <c r="A398" i="42"/>
  <c r="S397" i="42"/>
  <c r="P397" i="42"/>
  <c r="Q397" i="42" s="1"/>
  <c r="K397" i="42"/>
  <c r="J397" i="42"/>
  <c r="O397" i="42" s="1"/>
  <c r="A397" i="42"/>
  <c r="P396" i="42"/>
  <c r="S396" i="42" s="1"/>
  <c r="J396" i="42"/>
  <c r="O396" i="42" s="1"/>
  <c r="A396" i="42"/>
  <c r="P395" i="42"/>
  <c r="S395" i="42" s="1"/>
  <c r="J395" i="42"/>
  <c r="A395" i="42"/>
  <c r="P394" i="42"/>
  <c r="M394" i="42"/>
  <c r="J394" i="42"/>
  <c r="A394" i="42"/>
  <c r="Q393" i="42"/>
  <c r="P393" i="42"/>
  <c r="S393" i="42" s="1"/>
  <c r="O393" i="42"/>
  <c r="K393" i="42"/>
  <c r="J393" i="42"/>
  <c r="M393" i="42" s="1"/>
  <c r="A393" i="42"/>
  <c r="P392" i="42"/>
  <c r="J392" i="42"/>
  <c r="A392" i="42"/>
  <c r="P391" i="42"/>
  <c r="S391" i="42" s="1"/>
  <c r="K391" i="42"/>
  <c r="J391" i="42"/>
  <c r="M391" i="42" s="1"/>
  <c r="A391" i="42"/>
  <c r="S390" i="42"/>
  <c r="P390" i="42"/>
  <c r="J390" i="42"/>
  <c r="A390" i="42"/>
  <c r="P389" i="42"/>
  <c r="S389" i="42" s="1"/>
  <c r="M389" i="42"/>
  <c r="J389" i="42"/>
  <c r="O389" i="42" s="1"/>
  <c r="A389" i="42"/>
  <c r="P388" i="42"/>
  <c r="J388" i="42"/>
  <c r="M388" i="42" s="1"/>
  <c r="A388" i="42"/>
  <c r="P387" i="42"/>
  <c r="S387" i="42" s="1"/>
  <c r="J387" i="42"/>
  <c r="O387" i="42" s="1"/>
  <c r="A387" i="42"/>
  <c r="P386" i="42"/>
  <c r="Q386" i="42" s="1"/>
  <c r="J386" i="42"/>
  <c r="O386" i="42" s="1"/>
  <c r="A386" i="42"/>
  <c r="S385" i="42"/>
  <c r="P385" i="42"/>
  <c r="J385" i="42"/>
  <c r="O385" i="42" s="1"/>
  <c r="A385" i="42"/>
  <c r="P384" i="42"/>
  <c r="S384" i="42" s="1"/>
  <c r="K384" i="42"/>
  <c r="J384" i="42"/>
  <c r="M384" i="42" s="1"/>
  <c r="W384" i="42" s="1"/>
  <c r="A384" i="42"/>
  <c r="P383" i="42"/>
  <c r="S383" i="42" s="1"/>
  <c r="K383" i="42"/>
  <c r="J383" i="42"/>
  <c r="O383" i="42" s="1"/>
  <c r="A383" i="42"/>
  <c r="P382" i="42"/>
  <c r="J382" i="42"/>
  <c r="M382" i="42" s="1"/>
  <c r="W382" i="42" s="1"/>
  <c r="A382" i="42"/>
  <c r="P381" i="42"/>
  <c r="S381" i="42" s="1"/>
  <c r="J381" i="42"/>
  <c r="A381" i="42"/>
  <c r="P380" i="42"/>
  <c r="S380" i="42" s="1"/>
  <c r="J380" i="42"/>
  <c r="M380" i="42" s="1"/>
  <c r="W380" i="42" s="1"/>
  <c r="A380" i="42"/>
  <c r="P379" i="42"/>
  <c r="S379" i="42" s="1"/>
  <c r="J379" i="42"/>
  <c r="A379" i="42"/>
  <c r="Q378" i="42"/>
  <c r="P378" i="42"/>
  <c r="S378" i="42" s="1"/>
  <c r="J378" i="42"/>
  <c r="O378" i="42" s="1"/>
  <c r="A378" i="42"/>
  <c r="S377" i="42"/>
  <c r="P377" i="42"/>
  <c r="J377" i="42"/>
  <c r="M377" i="42" s="1"/>
  <c r="A377" i="42"/>
  <c r="P376" i="42"/>
  <c r="S376" i="42" s="1"/>
  <c r="J376" i="42"/>
  <c r="A376" i="42"/>
  <c r="P375" i="42"/>
  <c r="J375" i="42"/>
  <c r="O375" i="42" s="1"/>
  <c r="A375" i="42"/>
  <c r="P374" i="42"/>
  <c r="J374" i="42"/>
  <c r="O374" i="42" s="1"/>
  <c r="A374" i="42"/>
  <c r="P373" i="42"/>
  <c r="S373" i="42" s="1"/>
  <c r="K373" i="42"/>
  <c r="J373" i="42"/>
  <c r="M373" i="42" s="1"/>
  <c r="A373" i="42"/>
  <c r="P372" i="42"/>
  <c r="J372" i="42"/>
  <c r="A372" i="42"/>
  <c r="P371" i="42"/>
  <c r="S371" i="42" s="1"/>
  <c r="J371" i="42"/>
  <c r="A371" i="42"/>
  <c r="P370" i="42"/>
  <c r="S370" i="42" s="1"/>
  <c r="J370" i="42"/>
  <c r="A370" i="42"/>
  <c r="P369" i="42"/>
  <c r="S369" i="42" s="1"/>
  <c r="J369" i="42"/>
  <c r="A369" i="42"/>
  <c r="P368" i="42"/>
  <c r="S368" i="42" s="1"/>
  <c r="J368" i="42"/>
  <c r="M368" i="42" s="1"/>
  <c r="A368" i="42"/>
  <c r="P367" i="42"/>
  <c r="S367" i="42" s="1"/>
  <c r="J367" i="42"/>
  <c r="M367" i="42" s="1"/>
  <c r="A367" i="42"/>
  <c r="P366" i="42"/>
  <c r="S366" i="42" s="1"/>
  <c r="J366" i="42"/>
  <c r="O366" i="42" s="1"/>
  <c r="A366" i="42"/>
  <c r="P365" i="42"/>
  <c r="S365" i="42" s="1"/>
  <c r="J365" i="42"/>
  <c r="O365" i="42" s="1"/>
  <c r="A365" i="42"/>
  <c r="P364" i="42"/>
  <c r="J364" i="42"/>
  <c r="O364" i="42" s="1"/>
  <c r="A364" i="42"/>
  <c r="P363" i="42"/>
  <c r="S363" i="42" s="1"/>
  <c r="J363" i="42"/>
  <c r="O363" i="42" s="1"/>
  <c r="A363" i="42"/>
  <c r="Q362" i="42"/>
  <c r="P362" i="42"/>
  <c r="S362" i="42" s="1"/>
  <c r="J362" i="42"/>
  <c r="O362" i="42" s="1"/>
  <c r="A362" i="42"/>
  <c r="P361" i="42"/>
  <c r="S361" i="42" s="1"/>
  <c r="J361" i="42"/>
  <c r="A361" i="42"/>
  <c r="P360" i="42"/>
  <c r="S360" i="42" s="1"/>
  <c r="J360" i="42"/>
  <c r="K360" i="42" s="1"/>
  <c r="A360" i="42"/>
  <c r="S359" i="42"/>
  <c r="P359" i="42"/>
  <c r="J359" i="42"/>
  <c r="A359" i="42"/>
  <c r="P358" i="42"/>
  <c r="S358" i="42" s="1"/>
  <c r="J358" i="42"/>
  <c r="A358" i="42"/>
  <c r="P357" i="42"/>
  <c r="S357" i="42" s="1"/>
  <c r="J357" i="42"/>
  <c r="O357" i="42" s="1"/>
  <c r="A357" i="42"/>
  <c r="P356" i="42"/>
  <c r="J356" i="42"/>
  <c r="K356" i="42" s="1"/>
  <c r="A356" i="42"/>
  <c r="P355" i="42"/>
  <c r="S355" i="42" s="1"/>
  <c r="J355" i="42"/>
  <c r="O355" i="42" s="1"/>
  <c r="A355" i="42"/>
  <c r="P354" i="42"/>
  <c r="O354" i="42"/>
  <c r="J354" i="42"/>
  <c r="M354" i="42" s="1"/>
  <c r="W354" i="42" s="1"/>
  <c r="A354" i="42"/>
  <c r="P353" i="42"/>
  <c r="J353" i="42"/>
  <c r="O353" i="42" s="1"/>
  <c r="A353" i="42"/>
  <c r="Q352" i="42"/>
  <c r="P352" i="42"/>
  <c r="S352" i="42" s="1"/>
  <c r="J352" i="42"/>
  <c r="O352" i="42" s="1"/>
  <c r="A352" i="42"/>
  <c r="P351" i="42"/>
  <c r="S351" i="42" s="1"/>
  <c r="J351" i="42"/>
  <c r="O351" i="42" s="1"/>
  <c r="A351" i="42"/>
  <c r="P350" i="42"/>
  <c r="J350" i="42"/>
  <c r="O350" i="42" s="1"/>
  <c r="A350" i="42"/>
  <c r="S349" i="42"/>
  <c r="P349" i="42"/>
  <c r="K349" i="42"/>
  <c r="J349" i="42"/>
  <c r="M349" i="42" s="1"/>
  <c r="A349" i="42"/>
  <c r="P348" i="42"/>
  <c r="S348" i="42" s="1"/>
  <c r="J348" i="42"/>
  <c r="A348" i="42"/>
  <c r="P347" i="42"/>
  <c r="S347" i="42" s="1"/>
  <c r="J347" i="42"/>
  <c r="K347" i="42" s="1"/>
  <c r="A347" i="42"/>
  <c r="P346" i="42"/>
  <c r="J346" i="42"/>
  <c r="O346" i="42" s="1"/>
  <c r="A346" i="42"/>
  <c r="P345" i="42"/>
  <c r="S345" i="42" s="1"/>
  <c r="J345" i="42"/>
  <c r="M345" i="42" s="1"/>
  <c r="A345" i="42"/>
  <c r="P344" i="42"/>
  <c r="S344" i="42" s="1"/>
  <c r="J344" i="42"/>
  <c r="A344" i="42"/>
  <c r="P343" i="42"/>
  <c r="S343" i="42" s="1"/>
  <c r="M343" i="42"/>
  <c r="K343" i="42"/>
  <c r="J343" i="42"/>
  <c r="O343" i="42" s="1"/>
  <c r="A343" i="42"/>
  <c r="W342" i="42"/>
  <c r="W341" i="42"/>
  <c r="W338" i="42"/>
  <c r="P337" i="42"/>
  <c r="J337" i="42"/>
  <c r="O337" i="42" s="1"/>
  <c r="P336" i="42"/>
  <c r="J336" i="42"/>
  <c r="M336" i="42" s="1"/>
  <c r="W336" i="42" s="1"/>
  <c r="P335" i="42"/>
  <c r="J335" i="42"/>
  <c r="K335" i="42" s="1"/>
  <c r="P334" i="42"/>
  <c r="S334" i="42" s="1"/>
  <c r="J334" i="42"/>
  <c r="M334" i="42" s="1"/>
  <c r="W334" i="42" s="1"/>
  <c r="P333" i="42"/>
  <c r="S333" i="42" s="1"/>
  <c r="O333" i="42"/>
  <c r="J333" i="42"/>
  <c r="M333" i="42" s="1"/>
  <c r="W333" i="42" s="1"/>
  <c r="P332" i="42"/>
  <c r="Q332" i="42" s="1"/>
  <c r="T332" i="42" s="1"/>
  <c r="J332" i="42"/>
  <c r="K332" i="42" s="1"/>
  <c r="P331" i="42"/>
  <c r="J331" i="42"/>
  <c r="P330" i="42"/>
  <c r="S330" i="42" s="1"/>
  <c r="J330" i="42"/>
  <c r="O330" i="42" s="1"/>
  <c r="W329" i="42"/>
  <c r="S329" i="42"/>
  <c r="P329" i="42"/>
  <c r="Q329" i="42" s="1"/>
  <c r="O329" i="42"/>
  <c r="J329" i="42"/>
  <c r="M329" i="42" s="1"/>
  <c r="P328" i="42"/>
  <c r="S328" i="42" s="1"/>
  <c r="J328" i="42"/>
  <c r="P327" i="42"/>
  <c r="S327" i="42" s="1"/>
  <c r="J327" i="42"/>
  <c r="P326" i="42"/>
  <c r="S326" i="42" s="1"/>
  <c r="J326" i="42"/>
  <c r="O326" i="42" s="1"/>
  <c r="P325" i="42"/>
  <c r="S325" i="42" s="1"/>
  <c r="J325" i="42"/>
  <c r="O325" i="42" s="1"/>
  <c r="P324" i="42"/>
  <c r="S324" i="42" s="1"/>
  <c r="J324" i="42"/>
  <c r="P323" i="42"/>
  <c r="J323" i="42"/>
  <c r="M323" i="42" s="1"/>
  <c r="W323" i="42" s="1"/>
  <c r="P322" i="42"/>
  <c r="S322" i="42" s="1"/>
  <c r="J322" i="42"/>
  <c r="O322" i="42" s="1"/>
  <c r="P321" i="42"/>
  <c r="S321" i="42" s="1"/>
  <c r="J321" i="42"/>
  <c r="P320" i="42"/>
  <c r="Q320" i="42" s="1"/>
  <c r="J320" i="42"/>
  <c r="K320" i="42" s="1"/>
  <c r="P319" i="42"/>
  <c r="S319" i="42" s="1"/>
  <c r="J319" i="42"/>
  <c r="M319" i="42" s="1"/>
  <c r="W319" i="42" s="1"/>
  <c r="P318" i="42"/>
  <c r="S318" i="42" s="1"/>
  <c r="J318" i="42"/>
  <c r="P317" i="42"/>
  <c r="O317" i="42"/>
  <c r="M317" i="42"/>
  <c r="W317" i="42" s="1"/>
  <c r="J317" i="42"/>
  <c r="K317" i="42" s="1"/>
  <c r="P316" i="42"/>
  <c r="S316" i="42" s="1"/>
  <c r="J316" i="42"/>
  <c r="S315" i="42"/>
  <c r="P315" i="42"/>
  <c r="J315" i="42"/>
  <c r="P314" i="42"/>
  <c r="J314" i="42"/>
  <c r="K314" i="42" s="1"/>
  <c r="P313" i="42"/>
  <c r="S313" i="42" s="1"/>
  <c r="J313" i="42"/>
  <c r="M313" i="42" s="1"/>
  <c r="W313" i="42" s="1"/>
  <c r="P312" i="42"/>
  <c r="S312" i="42" s="1"/>
  <c r="J312" i="42"/>
  <c r="Q311" i="42"/>
  <c r="P311" i="42"/>
  <c r="S311" i="42" s="1"/>
  <c r="J311" i="42"/>
  <c r="M311" i="42" s="1"/>
  <c r="W311" i="42" s="1"/>
  <c r="W310" i="42"/>
  <c r="W308" i="42"/>
  <c r="P307" i="42"/>
  <c r="S307" i="42" s="1"/>
  <c r="J307" i="42"/>
  <c r="A307" i="42"/>
  <c r="P306" i="42"/>
  <c r="S306" i="42" s="1"/>
  <c r="J306" i="42"/>
  <c r="O306" i="42" s="1"/>
  <c r="A306" i="42"/>
  <c r="P305" i="42"/>
  <c r="S305" i="42" s="1"/>
  <c r="J305" i="42"/>
  <c r="M305" i="42" s="1"/>
  <c r="A305" i="42"/>
  <c r="P304" i="42"/>
  <c r="S304" i="42" s="1"/>
  <c r="J304" i="42"/>
  <c r="M304" i="42" s="1"/>
  <c r="A304" i="42"/>
  <c r="P303" i="42"/>
  <c r="S303" i="42" s="1"/>
  <c r="J303" i="42"/>
  <c r="M303" i="42" s="1"/>
  <c r="A303" i="42"/>
  <c r="P302" i="42"/>
  <c r="J302" i="42"/>
  <c r="O302" i="42" s="1"/>
  <c r="A302" i="42"/>
  <c r="P301" i="42"/>
  <c r="S301" i="42" s="1"/>
  <c r="J301" i="42"/>
  <c r="M301" i="42" s="1"/>
  <c r="A301" i="42"/>
  <c r="P300" i="42"/>
  <c r="J300" i="42"/>
  <c r="O300" i="42" s="1"/>
  <c r="A300" i="42"/>
  <c r="S299" i="42"/>
  <c r="P299" i="42"/>
  <c r="J299" i="42"/>
  <c r="K299" i="42" s="1"/>
  <c r="A299" i="42"/>
  <c r="P298" i="42"/>
  <c r="J298" i="42"/>
  <c r="M298" i="42" s="1"/>
  <c r="A298" i="42"/>
  <c r="W297" i="42"/>
  <c r="W295" i="42"/>
  <c r="W294" i="42"/>
  <c r="P294" i="42"/>
  <c r="S294" i="42" s="1"/>
  <c r="M294" i="42"/>
  <c r="J294" i="42"/>
  <c r="O294" i="42" s="1"/>
  <c r="A294" i="42"/>
  <c r="W293" i="42"/>
  <c r="P293" i="42"/>
  <c r="J293" i="42"/>
  <c r="O293" i="42" s="1"/>
  <c r="A293" i="42"/>
  <c r="W292" i="42"/>
  <c r="P292" i="42"/>
  <c r="S292" i="42" s="1"/>
  <c r="J292" i="42"/>
  <c r="O292" i="42" s="1"/>
  <c r="A292" i="42"/>
  <c r="W291" i="42"/>
  <c r="P291" i="42"/>
  <c r="S291" i="42" s="1"/>
  <c r="J291" i="42"/>
  <c r="A291" i="42"/>
  <c r="W290" i="42"/>
  <c r="P290" i="42"/>
  <c r="S290" i="42" s="1"/>
  <c r="J290" i="42"/>
  <c r="O290" i="42" s="1"/>
  <c r="A290" i="42"/>
  <c r="W289" i="42"/>
  <c r="W287" i="42"/>
  <c r="P286" i="42"/>
  <c r="S286" i="42" s="1"/>
  <c r="J286" i="42"/>
  <c r="O286" i="42" s="1"/>
  <c r="P285" i="42"/>
  <c r="J285" i="42"/>
  <c r="P284" i="42"/>
  <c r="Q284" i="42" s="1"/>
  <c r="J284" i="42"/>
  <c r="K284" i="42" s="1"/>
  <c r="P283" i="42"/>
  <c r="S283" i="42" s="1"/>
  <c r="J283" i="42"/>
  <c r="M283" i="42" s="1"/>
  <c r="W283" i="42" s="1"/>
  <c r="P282" i="42"/>
  <c r="S282" i="42" s="1"/>
  <c r="J282" i="42"/>
  <c r="P281" i="42"/>
  <c r="S281" i="42" s="1"/>
  <c r="O281" i="42"/>
  <c r="J281" i="42"/>
  <c r="M281" i="42" s="1"/>
  <c r="W281" i="42" s="1"/>
  <c r="P280" i="42"/>
  <c r="J280" i="42"/>
  <c r="K280" i="42" s="1"/>
  <c r="S279" i="42"/>
  <c r="P279" i="42"/>
  <c r="J279" i="42"/>
  <c r="O279" i="42" s="1"/>
  <c r="W278" i="42"/>
  <c r="W276" i="42"/>
  <c r="P275" i="42"/>
  <c r="S275" i="42" s="1"/>
  <c r="J275" i="42"/>
  <c r="O275" i="42" s="1"/>
  <c r="P274" i="42"/>
  <c r="J274" i="42"/>
  <c r="M274" i="42" s="1"/>
  <c r="W274" i="42" s="1"/>
  <c r="P273" i="42"/>
  <c r="S273" i="42" s="1"/>
  <c r="J273" i="42"/>
  <c r="M273" i="42" s="1"/>
  <c r="W273" i="42" s="1"/>
  <c r="S272" i="42"/>
  <c r="P272" i="42"/>
  <c r="J272" i="42"/>
  <c r="O272" i="42" s="1"/>
  <c r="P271" i="42"/>
  <c r="S271" i="42" s="1"/>
  <c r="J271" i="42"/>
  <c r="O271" i="42" s="1"/>
  <c r="P270" i="42"/>
  <c r="Q270" i="42" s="1"/>
  <c r="J270" i="42"/>
  <c r="P269" i="42"/>
  <c r="J269" i="42"/>
  <c r="K269" i="42" s="1"/>
  <c r="P268" i="42"/>
  <c r="S268" i="42" s="1"/>
  <c r="J268" i="42"/>
  <c r="O268" i="42" s="1"/>
  <c r="P267" i="42"/>
  <c r="S267" i="42" s="1"/>
  <c r="J267" i="42"/>
  <c r="K267" i="42" s="1"/>
  <c r="S266" i="42"/>
  <c r="P266" i="42"/>
  <c r="J266" i="42"/>
  <c r="W265" i="42"/>
  <c r="W263" i="42"/>
  <c r="P262" i="42"/>
  <c r="S262" i="42" s="1"/>
  <c r="J262" i="42"/>
  <c r="O262" i="42" s="1"/>
  <c r="P261" i="42"/>
  <c r="S261" i="42" s="1"/>
  <c r="J261" i="42"/>
  <c r="K261" i="42" s="1"/>
  <c r="P260" i="42"/>
  <c r="M260" i="42"/>
  <c r="W260" i="42" s="1"/>
  <c r="K260" i="42"/>
  <c r="J260" i="42"/>
  <c r="O260" i="42" s="1"/>
  <c r="P259" i="42"/>
  <c r="J259" i="42"/>
  <c r="M259" i="42" s="1"/>
  <c r="W259" i="42" s="1"/>
  <c r="P258" i="42"/>
  <c r="Q258" i="42" s="1"/>
  <c r="J258" i="42"/>
  <c r="M258" i="42" s="1"/>
  <c r="W258" i="42" s="1"/>
  <c r="P257" i="42"/>
  <c r="S257" i="42" s="1"/>
  <c r="J257" i="42"/>
  <c r="O257" i="42" s="1"/>
  <c r="P256" i="42"/>
  <c r="S256" i="42" s="1"/>
  <c r="J256" i="42"/>
  <c r="P255" i="42"/>
  <c r="J255" i="42"/>
  <c r="P254" i="42"/>
  <c r="S254" i="42" s="1"/>
  <c r="J254" i="42"/>
  <c r="K254" i="42" s="1"/>
  <c r="P253" i="42"/>
  <c r="S253" i="42" s="1"/>
  <c r="O253" i="42"/>
  <c r="J253" i="42"/>
  <c r="K253" i="42" s="1"/>
  <c r="P252" i="42"/>
  <c r="S252" i="42" s="1"/>
  <c r="J252" i="42"/>
  <c r="S251" i="42"/>
  <c r="P251" i="42"/>
  <c r="J251" i="42"/>
  <c r="O251" i="42" s="1"/>
  <c r="P250" i="42"/>
  <c r="J250" i="42"/>
  <c r="K250" i="42" s="1"/>
  <c r="P249" i="42"/>
  <c r="J249" i="42"/>
  <c r="O249" i="42" s="1"/>
  <c r="P248" i="42"/>
  <c r="S248" i="42" s="1"/>
  <c r="J248" i="42"/>
  <c r="O248" i="42" s="1"/>
  <c r="P247" i="42"/>
  <c r="Q247" i="42" s="1"/>
  <c r="J247" i="42"/>
  <c r="K247" i="42" s="1"/>
  <c r="P246" i="42"/>
  <c r="J246" i="42"/>
  <c r="P245" i="42"/>
  <c r="S245" i="42" s="1"/>
  <c r="O245" i="42"/>
  <c r="J245" i="42"/>
  <c r="K245" i="42" s="1"/>
  <c r="P244" i="42"/>
  <c r="S244" i="42" s="1"/>
  <c r="J244" i="42"/>
  <c r="K244" i="42" s="1"/>
  <c r="W243" i="42"/>
  <c r="P243" i="42"/>
  <c r="J243" i="42"/>
  <c r="M243" i="42" s="1"/>
  <c r="P242" i="42"/>
  <c r="J242" i="42"/>
  <c r="M242" i="42" s="1"/>
  <c r="W242" i="42" s="1"/>
  <c r="S241" i="42"/>
  <c r="P241" i="42"/>
  <c r="Q241" i="42" s="1"/>
  <c r="J241" i="42"/>
  <c r="O241" i="42" s="1"/>
  <c r="P240" i="42"/>
  <c r="S240" i="42" s="1"/>
  <c r="J240" i="42"/>
  <c r="M240" i="42" s="1"/>
  <c r="W240" i="42" s="1"/>
  <c r="P239" i="42"/>
  <c r="S239" i="42" s="1"/>
  <c r="J239" i="42"/>
  <c r="P238" i="42"/>
  <c r="S238" i="42" s="1"/>
  <c r="J238" i="42"/>
  <c r="P237" i="42"/>
  <c r="S237" i="42" s="1"/>
  <c r="J237" i="42"/>
  <c r="O237" i="42" s="1"/>
  <c r="P236" i="42"/>
  <c r="S236" i="42" s="1"/>
  <c r="J236" i="42"/>
  <c r="P235" i="42"/>
  <c r="S235" i="42" s="1"/>
  <c r="J235" i="42"/>
  <c r="M235" i="42" s="1"/>
  <c r="W235" i="42" s="1"/>
  <c r="P234" i="42"/>
  <c r="J234" i="42"/>
  <c r="M234" i="42" s="1"/>
  <c r="W234" i="42" s="1"/>
  <c r="S233" i="42"/>
  <c r="P233" i="42"/>
  <c r="J233" i="42"/>
  <c r="O233" i="42" s="1"/>
  <c r="P232" i="42"/>
  <c r="S232" i="42" s="1"/>
  <c r="J232" i="42"/>
  <c r="O232" i="42" s="1"/>
  <c r="W231" i="42"/>
  <c r="W229" i="42"/>
  <c r="P228" i="42"/>
  <c r="J228" i="42"/>
  <c r="K228" i="42" s="1"/>
  <c r="P227" i="42"/>
  <c r="O227" i="42"/>
  <c r="J227" i="42"/>
  <c r="M227" i="42" s="1"/>
  <c r="W227" i="42" s="1"/>
  <c r="P226" i="42"/>
  <c r="S226" i="42" s="1"/>
  <c r="J226" i="42"/>
  <c r="O226" i="42" s="1"/>
  <c r="P225" i="42"/>
  <c r="S225" i="42" s="1"/>
  <c r="J225" i="42"/>
  <c r="M225" i="42" s="1"/>
  <c r="W225" i="42" s="1"/>
  <c r="P224" i="42"/>
  <c r="S224" i="42" s="1"/>
  <c r="M224" i="42"/>
  <c r="W224" i="42" s="1"/>
  <c r="J224" i="42"/>
  <c r="P223" i="42"/>
  <c r="J223" i="42"/>
  <c r="P222" i="42"/>
  <c r="S222" i="42" s="1"/>
  <c r="J222" i="42"/>
  <c r="O222" i="42" s="1"/>
  <c r="P221" i="42"/>
  <c r="S221" i="42" s="1"/>
  <c r="J221" i="42"/>
  <c r="M221" i="42" s="1"/>
  <c r="W221" i="42" s="1"/>
  <c r="P220" i="42"/>
  <c r="Q220" i="42" s="1"/>
  <c r="K220" i="42"/>
  <c r="J220" i="42"/>
  <c r="P219" i="42"/>
  <c r="Q219" i="42" s="1"/>
  <c r="R219" i="42" s="1"/>
  <c r="J219" i="42"/>
  <c r="K219" i="42" s="1"/>
  <c r="P218" i="42"/>
  <c r="J218" i="42"/>
  <c r="O218" i="42" s="1"/>
  <c r="P217" i="42"/>
  <c r="S217" i="42" s="1"/>
  <c r="J217" i="42"/>
  <c r="O217" i="42" s="1"/>
  <c r="S216" i="42"/>
  <c r="P216" i="42"/>
  <c r="J216" i="42"/>
  <c r="M216" i="42" s="1"/>
  <c r="W216" i="42" s="1"/>
  <c r="P215" i="42"/>
  <c r="S215" i="42" s="1"/>
  <c r="J215" i="42"/>
  <c r="O215" i="42" s="1"/>
  <c r="P214" i="42"/>
  <c r="S214" i="42" s="1"/>
  <c r="J214" i="42"/>
  <c r="K214" i="42" s="1"/>
  <c r="S213" i="42"/>
  <c r="P213" i="42"/>
  <c r="J213" i="42"/>
  <c r="O213" i="42" s="1"/>
  <c r="P212" i="42"/>
  <c r="J212" i="42"/>
  <c r="K212" i="42" s="1"/>
  <c r="P211" i="42"/>
  <c r="J211" i="42"/>
  <c r="M211" i="42" s="1"/>
  <c r="W211" i="42" s="1"/>
  <c r="P210" i="42"/>
  <c r="S210" i="42" s="1"/>
  <c r="J210" i="42"/>
  <c r="O210" i="42" s="1"/>
  <c r="P209" i="42"/>
  <c r="S209" i="42" s="1"/>
  <c r="J209" i="42"/>
  <c r="O209" i="42" s="1"/>
  <c r="P208" i="42"/>
  <c r="S208" i="42" s="1"/>
  <c r="J208" i="42"/>
  <c r="M208" i="42" s="1"/>
  <c r="W208" i="42" s="1"/>
  <c r="P207" i="42"/>
  <c r="S207" i="42" s="1"/>
  <c r="J207" i="42"/>
  <c r="P206" i="42"/>
  <c r="S206" i="42" s="1"/>
  <c r="J206" i="42"/>
  <c r="O206" i="42" s="1"/>
  <c r="P205" i="42"/>
  <c r="S205" i="42" s="1"/>
  <c r="J205" i="42"/>
  <c r="M205" i="42" s="1"/>
  <c r="W205" i="42" s="1"/>
  <c r="P204" i="42"/>
  <c r="S204" i="42" s="1"/>
  <c r="J204" i="42"/>
  <c r="P203" i="42"/>
  <c r="S203" i="42" s="1"/>
  <c r="J203" i="42"/>
  <c r="K203" i="42" s="1"/>
  <c r="P202" i="42"/>
  <c r="S202" i="42" s="1"/>
  <c r="J202" i="42"/>
  <c r="O202" i="42" s="1"/>
  <c r="P201" i="42"/>
  <c r="S201" i="42" s="1"/>
  <c r="O201" i="42"/>
  <c r="M201" i="42"/>
  <c r="W201" i="42" s="1"/>
  <c r="J201" i="42"/>
  <c r="K201" i="42" s="1"/>
  <c r="P200" i="42"/>
  <c r="J200" i="42"/>
  <c r="M200" i="42" s="1"/>
  <c r="W200" i="42" s="1"/>
  <c r="P199" i="42"/>
  <c r="Q199" i="42" s="1"/>
  <c r="O199" i="42"/>
  <c r="M199" i="42"/>
  <c r="W199" i="42" s="1"/>
  <c r="K199" i="42"/>
  <c r="J199" i="42"/>
  <c r="P198" i="42"/>
  <c r="S198" i="42" s="1"/>
  <c r="J198" i="42"/>
  <c r="K198" i="42" s="1"/>
  <c r="S197" i="42"/>
  <c r="P197" i="42"/>
  <c r="J197" i="42"/>
  <c r="O197" i="42" s="1"/>
  <c r="W196" i="42"/>
  <c r="W194" i="42"/>
  <c r="P193" i="42"/>
  <c r="S193" i="42" s="1"/>
  <c r="J193" i="42"/>
  <c r="S192" i="42"/>
  <c r="P192" i="42"/>
  <c r="J192" i="42"/>
  <c r="P191" i="42"/>
  <c r="S191" i="42" s="1"/>
  <c r="M191" i="42"/>
  <c r="W191" i="42" s="1"/>
  <c r="J191" i="42"/>
  <c r="O191" i="42" s="1"/>
  <c r="S190" i="42"/>
  <c r="P190" i="42"/>
  <c r="J190" i="42"/>
  <c r="M190" i="42" s="1"/>
  <c r="W190" i="42" s="1"/>
  <c r="P189" i="42"/>
  <c r="J189" i="42"/>
  <c r="O189" i="42" s="1"/>
  <c r="W188" i="42"/>
  <c r="P188" i="42"/>
  <c r="S188" i="42" s="1"/>
  <c r="O188" i="42"/>
  <c r="M188" i="42"/>
  <c r="J188" i="42"/>
  <c r="K188" i="42" s="1"/>
  <c r="P187" i="42"/>
  <c r="J187" i="42"/>
  <c r="O187" i="42" s="1"/>
  <c r="P186" i="42"/>
  <c r="S186" i="42" s="1"/>
  <c r="J186" i="42"/>
  <c r="K186" i="42" s="1"/>
  <c r="P185" i="42"/>
  <c r="J185" i="42"/>
  <c r="M185" i="42" s="1"/>
  <c r="W185" i="42" s="1"/>
  <c r="P184" i="42"/>
  <c r="J184" i="42"/>
  <c r="K184" i="42" s="1"/>
  <c r="P183" i="42"/>
  <c r="M183" i="42"/>
  <c r="W183" i="42" s="1"/>
  <c r="J183" i="42"/>
  <c r="K183" i="42" s="1"/>
  <c r="P182" i="42"/>
  <c r="J182" i="42"/>
  <c r="O182" i="42" s="1"/>
  <c r="P181" i="42"/>
  <c r="S181" i="42" s="1"/>
  <c r="J181" i="42"/>
  <c r="K181" i="42" s="1"/>
  <c r="P180" i="42"/>
  <c r="S180" i="42" s="1"/>
  <c r="J180" i="42"/>
  <c r="P179" i="42"/>
  <c r="S179" i="42" s="1"/>
  <c r="J179" i="42"/>
  <c r="P178" i="42"/>
  <c r="S178" i="42" s="1"/>
  <c r="J178" i="42"/>
  <c r="O178" i="42" s="1"/>
  <c r="W177" i="42"/>
  <c r="W175" i="42"/>
  <c r="P174" i="42"/>
  <c r="S174" i="42" s="1"/>
  <c r="J174" i="42"/>
  <c r="O174" i="42" s="1"/>
  <c r="P173" i="42"/>
  <c r="J173" i="42"/>
  <c r="K173" i="42" s="1"/>
  <c r="W172" i="42"/>
  <c r="W171" i="42"/>
  <c r="W168" i="42"/>
  <c r="P167" i="42"/>
  <c r="S167" i="42" s="1"/>
  <c r="J167" i="42"/>
  <c r="M167" i="42" s="1"/>
  <c r="W167" i="42" s="1"/>
  <c r="P166" i="42"/>
  <c r="J166" i="42"/>
  <c r="O166" i="42" s="1"/>
  <c r="P165" i="42"/>
  <c r="J165" i="42"/>
  <c r="K165" i="42" s="1"/>
  <c r="S164" i="42"/>
  <c r="P164" i="42"/>
  <c r="J164" i="42"/>
  <c r="O164" i="42" s="1"/>
  <c r="P163" i="42"/>
  <c r="S163" i="42" s="1"/>
  <c r="J163" i="42"/>
  <c r="K163" i="42" s="1"/>
  <c r="P162" i="42"/>
  <c r="S162" i="42" s="1"/>
  <c r="J162" i="42"/>
  <c r="M162" i="42" s="1"/>
  <c r="W162" i="42" s="1"/>
  <c r="P161" i="42"/>
  <c r="S161" i="42" s="1"/>
  <c r="J161" i="42"/>
  <c r="P160" i="42"/>
  <c r="S160" i="42" s="1"/>
  <c r="J160" i="42"/>
  <c r="O160" i="42" s="1"/>
  <c r="P159" i="42"/>
  <c r="J159" i="42"/>
  <c r="O159" i="42" s="1"/>
  <c r="P158" i="42"/>
  <c r="S158" i="42" s="1"/>
  <c r="J158" i="42"/>
  <c r="P157" i="42"/>
  <c r="J157" i="42"/>
  <c r="O157" i="42" s="1"/>
  <c r="S156" i="42"/>
  <c r="Q156" i="42"/>
  <c r="P156" i="42"/>
  <c r="J156" i="42"/>
  <c r="O156" i="42" s="1"/>
  <c r="P155" i="42"/>
  <c r="Q155" i="42" s="1"/>
  <c r="J155" i="42"/>
  <c r="O155" i="42" s="1"/>
  <c r="P154" i="42"/>
  <c r="S154" i="42" s="1"/>
  <c r="J154" i="42"/>
  <c r="K154" i="42" s="1"/>
  <c r="P153" i="42"/>
  <c r="S153" i="42" s="1"/>
  <c r="J153" i="42"/>
  <c r="O153" i="42" s="1"/>
  <c r="P152" i="42"/>
  <c r="S152" i="42" s="1"/>
  <c r="J152" i="42"/>
  <c r="P151" i="42"/>
  <c r="O151" i="42"/>
  <c r="J151" i="42"/>
  <c r="M151" i="42" s="1"/>
  <c r="W151" i="42" s="1"/>
  <c r="P150" i="42"/>
  <c r="S150" i="42" s="1"/>
  <c r="J150" i="42"/>
  <c r="K150" i="42" s="1"/>
  <c r="P149" i="42"/>
  <c r="J149" i="42"/>
  <c r="P148" i="42"/>
  <c r="S148" i="42" s="1"/>
  <c r="J148" i="42"/>
  <c r="O148" i="42" s="1"/>
  <c r="P147" i="42"/>
  <c r="S147" i="42" s="1"/>
  <c r="J147" i="42"/>
  <c r="K147" i="42" s="1"/>
  <c r="P146" i="42"/>
  <c r="J146" i="42"/>
  <c r="M146" i="42" s="1"/>
  <c r="W146" i="42" s="1"/>
  <c r="P145" i="42"/>
  <c r="S145" i="42" s="1"/>
  <c r="J145" i="42"/>
  <c r="P144" i="42"/>
  <c r="J144" i="42"/>
  <c r="M144" i="42" s="1"/>
  <c r="W144" i="42" s="1"/>
  <c r="P143" i="42"/>
  <c r="S143" i="42" s="1"/>
  <c r="K143" i="42"/>
  <c r="J143" i="42"/>
  <c r="S142" i="42"/>
  <c r="P142" i="42"/>
  <c r="J142" i="42"/>
  <c r="P141" i="42"/>
  <c r="S141" i="42" s="1"/>
  <c r="J141" i="42"/>
  <c r="O141" i="42" s="1"/>
  <c r="S140" i="42"/>
  <c r="P140" i="42"/>
  <c r="J140" i="42"/>
  <c r="M140" i="42" s="1"/>
  <c r="W140" i="42" s="1"/>
  <c r="P139" i="42"/>
  <c r="S139" i="42" s="1"/>
  <c r="J139" i="42"/>
  <c r="P138" i="42"/>
  <c r="S138" i="42" s="1"/>
  <c r="O138" i="42"/>
  <c r="M138" i="42"/>
  <c r="W138" i="42" s="1"/>
  <c r="J138" i="42"/>
  <c r="K138" i="42" s="1"/>
  <c r="P137" i="42"/>
  <c r="J137" i="42"/>
  <c r="K137" i="42" s="1"/>
  <c r="P136" i="42"/>
  <c r="S136" i="42" s="1"/>
  <c r="J136" i="42"/>
  <c r="M136" i="42" s="1"/>
  <c r="W136" i="42" s="1"/>
  <c r="P135" i="42"/>
  <c r="J135" i="42"/>
  <c r="M135" i="42" s="1"/>
  <c r="W135" i="42" s="1"/>
  <c r="P134" i="42"/>
  <c r="O134" i="42"/>
  <c r="M134" i="42"/>
  <c r="W134" i="42" s="1"/>
  <c r="J134" i="42"/>
  <c r="K134" i="42" s="1"/>
  <c r="P133" i="42"/>
  <c r="J133" i="42"/>
  <c r="K133" i="42" s="1"/>
  <c r="P132" i="42"/>
  <c r="S132" i="42" s="1"/>
  <c r="J132" i="42"/>
  <c r="O132" i="42" s="1"/>
  <c r="P131" i="42"/>
  <c r="S131" i="42" s="1"/>
  <c r="J131" i="42"/>
  <c r="K131" i="42" s="1"/>
  <c r="P130" i="42"/>
  <c r="S130" i="42" s="1"/>
  <c r="J130" i="42"/>
  <c r="M130" i="42" s="1"/>
  <c r="W130" i="42" s="1"/>
  <c r="P129" i="42"/>
  <c r="S129" i="42" s="1"/>
  <c r="J129" i="42"/>
  <c r="P128" i="42"/>
  <c r="S128" i="42" s="1"/>
  <c r="J128" i="42"/>
  <c r="M128" i="42" s="1"/>
  <c r="W128" i="42" s="1"/>
  <c r="P127" i="42"/>
  <c r="S127" i="42" s="1"/>
  <c r="J127" i="42"/>
  <c r="P126" i="42"/>
  <c r="S126" i="42" s="1"/>
  <c r="J126" i="42"/>
  <c r="P125" i="42"/>
  <c r="S125" i="42" s="1"/>
  <c r="J125" i="42"/>
  <c r="O125" i="42" s="1"/>
  <c r="P124" i="42"/>
  <c r="J124" i="42"/>
  <c r="O124" i="42" s="1"/>
  <c r="P123" i="42"/>
  <c r="S123" i="42" s="1"/>
  <c r="J123" i="42"/>
  <c r="K123" i="42" s="1"/>
  <c r="W122" i="42"/>
  <c r="W120" i="42"/>
  <c r="P119" i="42"/>
  <c r="S119" i="42" s="1"/>
  <c r="K119" i="42"/>
  <c r="J119" i="42"/>
  <c r="M119" i="42" s="1"/>
  <c r="W119" i="42" s="1"/>
  <c r="P118" i="42"/>
  <c r="S118" i="42" s="1"/>
  <c r="J118" i="42"/>
  <c r="O118" i="42" s="1"/>
  <c r="P117" i="42"/>
  <c r="S117" i="42" s="1"/>
  <c r="J117" i="42"/>
  <c r="M117" i="42" s="1"/>
  <c r="S116" i="42"/>
  <c r="P116" i="42"/>
  <c r="J116" i="42"/>
  <c r="M116" i="42" s="1"/>
  <c r="W116" i="42" s="1"/>
  <c r="P115" i="42"/>
  <c r="S115" i="42" s="1"/>
  <c r="J115" i="42"/>
  <c r="K115" i="42" s="1"/>
  <c r="P114" i="42"/>
  <c r="S114" i="42" s="1"/>
  <c r="J114" i="42"/>
  <c r="O114" i="42" s="1"/>
  <c r="P113" i="42"/>
  <c r="S113" i="42" s="1"/>
  <c r="J113" i="42"/>
  <c r="M113" i="42" s="1"/>
  <c r="W113" i="42" s="1"/>
  <c r="P112" i="42"/>
  <c r="J112" i="42"/>
  <c r="P111" i="42"/>
  <c r="J111" i="42"/>
  <c r="O111" i="42" s="1"/>
  <c r="P110" i="42"/>
  <c r="M110" i="42"/>
  <c r="W110" i="42" s="1"/>
  <c r="J110" i="42"/>
  <c r="O110" i="42" s="1"/>
  <c r="P109" i="42"/>
  <c r="S109" i="42" s="1"/>
  <c r="J109" i="42"/>
  <c r="M109" i="42" s="1"/>
  <c r="W109" i="42" s="1"/>
  <c r="P108" i="42"/>
  <c r="S108" i="42" s="1"/>
  <c r="J108" i="42"/>
  <c r="P107" i="42"/>
  <c r="Q107" i="42" s="1"/>
  <c r="M107" i="42"/>
  <c r="W107" i="42" s="1"/>
  <c r="J107" i="42"/>
  <c r="O107" i="42" s="1"/>
  <c r="P106" i="42"/>
  <c r="S106" i="42" s="1"/>
  <c r="J106" i="42"/>
  <c r="P105" i="42"/>
  <c r="S105" i="42" s="1"/>
  <c r="J105" i="42"/>
  <c r="K105" i="42" s="1"/>
  <c r="W104" i="42"/>
  <c r="W102" i="42"/>
  <c r="P101" i="42"/>
  <c r="J101" i="42"/>
  <c r="M101" i="42" s="1"/>
  <c r="W101" i="42" s="1"/>
  <c r="P100" i="42"/>
  <c r="S100" i="42" s="1"/>
  <c r="O100" i="42"/>
  <c r="K100" i="42"/>
  <c r="J100" i="42"/>
  <c r="P99" i="42"/>
  <c r="S99" i="42" s="1"/>
  <c r="J99" i="42"/>
  <c r="O99" i="42" s="1"/>
  <c r="P98" i="42"/>
  <c r="S98" i="42" s="1"/>
  <c r="J98" i="42"/>
  <c r="M98" i="42" s="1"/>
  <c r="W98" i="42" s="1"/>
  <c r="P97" i="42"/>
  <c r="J97" i="42"/>
  <c r="O97" i="42" s="1"/>
  <c r="P96" i="42"/>
  <c r="S96" i="42" s="1"/>
  <c r="J96" i="42"/>
  <c r="O96" i="42" s="1"/>
  <c r="P95" i="42"/>
  <c r="J95" i="42"/>
  <c r="O95" i="42" s="1"/>
  <c r="P94" i="42"/>
  <c r="S94" i="42" s="1"/>
  <c r="O94" i="42"/>
  <c r="J94" i="42"/>
  <c r="M94" i="42" s="1"/>
  <c r="W94" i="42" s="1"/>
  <c r="P93" i="42"/>
  <c r="S93" i="42" s="1"/>
  <c r="J93" i="42"/>
  <c r="P92" i="42"/>
  <c r="S92" i="42" s="1"/>
  <c r="O92" i="42"/>
  <c r="J92" i="42"/>
  <c r="K92" i="42" s="1"/>
  <c r="P91" i="42"/>
  <c r="S91" i="42" s="1"/>
  <c r="J91" i="42"/>
  <c r="M91" i="42" s="1"/>
  <c r="W91" i="42" s="1"/>
  <c r="W90" i="42"/>
  <c r="W88" i="42"/>
  <c r="P87" i="42"/>
  <c r="Q87" i="42" s="1"/>
  <c r="O87" i="42"/>
  <c r="J87" i="42"/>
  <c r="M87" i="42" s="1"/>
  <c r="W87" i="42" s="1"/>
  <c r="P86" i="42"/>
  <c r="J86" i="42"/>
  <c r="W85" i="42"/>
  <c r="W83" i="42"/>
  <c r="P82" i="42"/>
  <c r="S82" i="42" s="1"/>
  <c r="J82" i="42"/>
  <c r="O82" i="42" s="1"/>
  <c r="P81" i="42"/>
  <c r="J81" i="42"/>
  <c r="O81" i="42" s="1"/>
  <c r="P80" i="42"/>
  <c r="S80" i="42" s="1"/>
  <c r="J80" i="42"/>
  <c r="M80" i="42" s="1"/>
  <c r="W80" i="42" s="1"/>
  <c r="P79" i="42"/>
  <c r="S79" i="42" s="1"/>
  <c r="J79" i="42"/>
  <c r="P78" i="42"/>
  <c r="S78" i="42" s="1"/>
  <c r="K78" i="42"/>
  <c r="J78" i="42"/>
  <c r="M78" i="42" s="1"/>
  <c r="W78" i="42" s="1"/>
  <c r="P77" i="42"/>
  <c r="S77" i="42" s="1"/>
  <c r="J77" i="42"/>
  <c r="M77" i="42" s="1"/>
  <c r="W77" i="42" s="1"/>
  <c r="P76" i="42"/>
  <c r="J76" i="42"/>
  <c r="K76" i="42" s="1"/>
  <c r="W75" i="42"/>
  <c r="W73" i="42"/>
  <c r="P72" i="42"/>
  <c r="S72" i="42" s="1"/>
  <c r="J72" i="42"/>
  <c r="M72" i="42" s="1"/>
  <c r="W72" i="42" s="1"/>
  <c r="P71" i="42"/>
  <c r="S71" i="42" s="1"/>
  <c r="J71" i="42"/>
  <c r="M71" i="42" s="1"/>
  <c r="W71" i="42" s="1"/>
  <c r="P70" i="42"/>
  <c r="S70" i="42" s="1"/>
  <c r="J70" i="42"/>
  <c r="O70" i="42" s="1"/>
  <c r="P69" i="42"/>
  <c r="S69" i="42" s="1"/>
  <c r="J69" i="42"/>
  <c r="M69" i="42" s="1"/>
  <c r="W69" i="42" s="1"/>
  <c r="P68" i="42"/>
  <c r="J68" i="42"/>
  <c r="K68" i="42" s="1"/>
  <c r="P67" i="42"/>
  <c r="S67" i="42" s="1"/>
  <c r="J67" i="42"/>
  <c r="O67" i="42" s="1"/>
  <c r="W66" i="42"/>
  <c r="W64" i="42"/>
  <c r="P63" i="42"/>
  <c r="S63" i="42" s="1"/>
  <c r="J63" i="42"/>
  <c r="M63" i="42" s="1"/>
  <c r="W63" i="42" s="1"/>
  <c r="P62" i="42"/>
  <c r="S62" i="42" s="1"/>
  <c r="J62" i="42"/>
  <c r="K62" i="42" s="1"/>
  <c r="P61" i="42"/>
  <c r="O61" i="42"/>
  <c r="J61" i="42"/>
  <c r="K61" i="42" s="1"/>
  <c r="P60" i="42"/>
  <c r="S60" i="42" s="1"/>
  <c r="J60" i="42"/>
  <c r="M60" i="42" s="1"/>
  <c r="W60" i="42" s="1"/>
  <c r="P59" i="42"/>
  <c r="S59" i="42" s="1"/>
  <c r="J59" i="42"/>
  <c r="O59" i="42" s="1"/>
  <c r="P58" i="42"/>
  <c r="S58" i="42" s="1"/>
  <c r="J58" i="42"/>
  <c r="K58" i="42" s="1"/>
  <c r="W57" i="42"/>
  <c r="W55" i="42"/>
  <c r="P54" i="42"/>
  <c r="J54" i="42"/>
  <c r="K54" i="42" s="1"/>
  <c r="P53" i="42"/>
  <c r="S53" i="42" s="1"/>
  <c r="J53" i="42"/>
  <c r="O53" i="42" s="1"/>
  <c r="P52" i="42"/>
  <c r="J52" i="42"/>
  <c r="O52" i="42" s="1"/>
  <c r="P51" i="42"/>
  <c r="S51" i="42" s="1"/>
  <c r="J51" i="42"/>
  <c r="M51" i="42" s="1"/>
  <c r="W51" i="42" s="1"/>
  <c r="W50" i="42"/>
  <c r="P47" i="42"/>
  <c r="S47" i="42" s="1"/>
  <c r="J47" i="42"/>
  <c r="M47" i="42" s="1"/>
  <c r="W47" i="42" s="1"/>
  <c r="P46" i="42"/>
  <c r="S46" i="42" s="1"/>
  <c r="J46" i="42"/>
  <c r="M46" i="42" s="1"/>
  <c r="P45" i="42"/>
  <c r="S45" i="42" s="1"/>
  <c r="J45" i="42"/>
  <c r="O45" i="42" s="1"/>
  <c r="B44" i="42"/>
  <c r="B45" i="42" s="1"/>
  <c r="B46" i="42" s="1"/>
  <c r="B47" i="42" s="1"/>
  <c r="B48" i="42" s="1"/>
  <c r="B49" i="42" s="1"/>
  <c r="B50" i="42" s="1"/>
  <c r="B51" i="42" s="1"/>
  <c r="B52" i="42" s="1"/>
  <c r="B53" i="42" s="1"/>
  <c r="B54" i="42" s="1"/>
  <c r="B55" i="42" s="1"/>
  <c r="B56" i="42" s="1"/>
  <c r="B57" i="42" s="1"/>
  <c r="B58" i="42" s="1"/>
  <c r="B59" i="42" s="1"/>
  <c r="B60" i="42" s="1"/>
  <c r="B61" i="42" s="1"/>
  <c r="B62" i="42" s="1"/>
  <c r="B63" i="42" s="1"/>
  <c r="B64" i="42" s="1"/>
  <c r="B65" i="42" s="1"/>
  <c r="B66" i="42" s="1"/>
  <c r="B67" i="42" s="1"/>
  <c r="B68" i="42" s="1"/>
  <c r="B69" i="42" s="1"/>
  <c r="B70" i="42" s="1"/>
  <c r="B71" i="42" s="1"/>
  <c r="B72" i="42" s="1"/>
  <c r="B73" i="42" s="1"/>
  <c r="B74" i="42" s="1"/>
  <c r="B75" i="42" s="1"/>
  <c r="B76" i="42" s="1"/>
  <c r="B77" i="42" s="1"/>
  <c r="B78" i="42" s="1"/>
  <c r="B79" i="42" s="1"/>
  <c r="B80" i="42" s="1"/>
  <c r="B81" i="42" s="1"/>
  <c r="B82" i="42" s="1"/>
  <c r="B83" i="42" s="1"/>
  <c r="B84" i="42" s="1"/>
  <c r="B85" i="42" s="1"/>
  <c r="B86" i="42" s="1"/>
  <c r="B87" i="42" s="1"/>
  <c r="B88" i="42" s="1"/>
  <c r="B89" i="42" s="1"/>
  <c r="B90" i="42" s="1"/>
  <c r="B91" i="42" s="1"/>
  <c r="B92" i="42" s="1"/>
  <c r="B93" i="42" s="1"/>
  <c r="B94" i="42" s="1"/>
  <c r="B95" i="42" s="1"/>
  <c r="B96" i="42" s="1"/>
  <c r="B97" i="42" s="1"/>
  <c r="B98" i="42" s="1"/>
  <c r="B99" i="42" s="1"/>
  <c r="B100" i="42" s="1"/>
  <c r="B101" i="42" s="1"/>
  <c r="B102" i="42" s="1"/>
  <c r="B103" i="42" s="1"/>
  <c r="B104" i="42" s="1"/>
  <c r="B105" i="42" s="1"/>
  <c r="B106" i="42" s="1"/>
  <c r="B107" i="42" s="1"/>
  <c r="B108" i="42" s="1"/>
  <c r="B109" i="42" s="1"/>
  <c r="B110" i="42" s="1"/>
  <c r="B111" i="42" s="1"/>
  <c r="B112" i="42" s="1"/>
  <c r="B113" i="42" s="1"/>
  <c r="B114" i="42" s="1"/>
  <c r="B115" i="42" s="1"/>
  <c r="B116" i="42" s="1"/>
  <c r="B117" i="42" s="1"/>
  <c r="B118" i="42" s="1"/>
  <c r="B119" i="42" s="1"/>
  <c r="B120" i="42" s="1"/>
  <c r="B121" i="42" s="1"/>
  <c r="B122" i="42" s="1"/>
  <c r="B123" i="42" s="1"/>
  <c r="B124" i="42" s="1"/>
  <c r="B125" i="42" s="1"/>
  <c r="B126" i="42" s="1"/>
  <c r="B127" i="42" s="1"/>
  <c r="B128" i="42" s="1"/>
  <c r="B129" i="42" s="1"/>
  <c r="B130" i="42" s="1"/>
  <c r="B131" i="42" s="1"/>
  <c r="B132" i="42" s="1"/>
  <c r="B133" i="42" s="1"/>
  <c r="B134" i="42" s="1"/>
  <c r="B135" i="42" s="1"/>
  <c r="B136" i="42" s="1"/>
  <c r="B137" i="42" s="1"/>
  <c r="B138" i="42" s="1"/>
  <c r="B139" i="42" s="1"/>
  <c r="B140" i="42" s="1"/>
  <c r="B141" i="42" s="1"/>
  <c r="B142" i="42" s="1"/>
  <c r="B143" i="42" s="1"/>
  <c r="B144" i="42" s="1"/>
  <c r="B145" i="42" s="1"/>
  <c r="B146" i="42" s="1"/>
  <c r="B147" i="42" s="1"/>
  <c r="B148" i="42" s="1"/>
  <c r="B149" i="42" s="1"/>
  <c r="B150" i="42" s="1"/>
  <c r="B151" i="42" s="1"/>
  <c r="B152" i="42" s="1"/>
  <c r="B153" i="42" s="1"/>
  <c r="B154" i="42" s="1"/>
  <c r="B155" i="42" s="1"/>
  <c r="B156" i="42" s="1"/>
  <c r="B157" i="42" s="1"/>
  <c r="B158" i="42" s="1"/>
  <c r="B159" i="42" s="1"/>
  <c r="B160" i="42" s="1"/>
  <c r="B161" i="42" s="1"/>
  <c r="B162" i="42" s="1"/>
  <c r="B163" i="42" s="1"/>
  <c r="B164" i="42" s="1"/>
  <c r="B165" i="42" s="1"/>
  <c r="B166" i="42" s="1"/>
  <c r="B167" i="42" s="1"/>
  <c r="B168" i="42" s="1"/>
  <c r="B169" i="42" s="1"/>
  <c r="B170" i="42" s="1"/>
  <c r="B171" i="42" s="1"/>
  <c r="B172" i="42" s="1"/>
  <c r="B173" i="42" s="1"/>
  <c r="B174" i="42" s="1"/>
  <c r="B175" i="42" s="1"/>
  <c r="B176" i="42" s="1"/>
  <c r="B177" i="42" s="1"/>
  <c r="B178" i="42" s="1"/>
  <c r="B179" i="42" s="1"/>
  <c r="B180" i="42" s="1"/>
  <c r="B181" i="42" s="1"/>
  <c r="B182" i="42" s="1"/>
  <c r="B183" i="42" s="1"/>
  <c r="B184" i="42" s="1"/>
  <c r="B185" i="42" s="1"/>
  <c r="B186" i="42" s="1"/>
  <c r="B187" i="42" s="1"/>
  <c r="B188" i="42" s="1"/>
  <c r="B189" i="42" s="1"/>
  <c r="B190" i="42" s="1"/>
  <c r="B191" i="42" s="1"/>
  <c r="B192" i="42" s="1"/>
  <c r="B193" i="42" s="1"/>
  <c r="B194" i="42" s="1"/>
  <c r="B195" i="42" s="1"/>
  <c r="B196" i="42" s="1"/>
  <c r="B197" i="42" s="1"/>
  <c r="B198" i="42" s="1"/>
  <c r="B199" i="42" s="1"/>
  <c r="B200" i="42" s="1"/>
  <c r="B201" i="42" s="1"/>
  <c r="B202" i="42" s="1"/>
  <c r="B203" i="42" s="1"/>
  <c r="B204" i="42" s="1"/>
  <c r="B205" i="42" s="1"/>
  <c r="B206" i="42" s="1"/>
  <c r="B207" i="42" s="1"/>
  <c r="B208" i="42" s="1"/>
  <c r="B209" i="42" s="1"/>
  <c r="B210" i="42" s="1"/>
  <c r="B211" i="42" s="1"/>
  <c r="B212" i="42" s="1"/>
  <c r="B213" i="42" s="1"/>
  <c r="B214" i="42" s="1"/>
  <c r="B215" i="42" s="1"/>
  <c r="B216" i="42" s="1"/>
  <c r="B217" i="42" s="1"/>
  <c r="B218" i="42" s="1"/>
  <c r="B219" i="42" s="1"/>
  <c r="B220" i="42" s="1"/>
  <c r="B221" i="42" s="1"/>
  <c r="B222" i="42" s="1"/>
  <c r="B223" i="42" s="1"/>
  <c r="B224" i="42" s="1"/>
  <c r="B225" i="42" s="1"/>
  <c r="B226" i="42" s="1"/>
  <c r="B227" i="42" s="1"/>
  <c r="B228" i="42" s="1"/>
  <c r="B229" i="42" s="1"/>
  <c r="B230" i="42" s="1"/>
  <c r="B231" i="42" s="1"/>
  <c r="B232" i="42" s="1"/>
  <c r="B233" i="42" s="1"/>
  <c r="B234" i="42" s="1"/>
  <c r="B235" i="42" s="1"/>
  <c r="B236" i="42" s="1"/>
  <c r="B237" i="42" s="1"/>
  <c r="B238" i="42" s="1"/>
  <c r="B239" i="42" s="1"/>
  <c r="B240" i="42" s="1"/>
  <c r="B241" i="42" s="1"/>
  <c r="B242" i="42" s="1"/>
  <c r="B243" i="42" s="1"/>
  <c r="B244" i="42" s="1"/>
  <c r="B245" i="42" s="1"/>
  <c r="B246" i="42" s="1"/>
  <c r="B247" i="42" s="1"/>
  <c r="B248" i="42" s="1"/>
  <c r="B249" i="42" s="1"/>
  <c r="B250" i="42" s="1"/>
  <c r="B251" i="42" s="1"/>
  <c r="B252" i="42" s="1"/>
  <c r="B253" i="42" s="1"/>
  <c r="B254" i="42" s="1"/>
  <c r="B255" i="42" s="1"/>
  <c r="B256" i="42" s="1"/>
  <c r="B257" i="42" s="1"/>
  <c r="B258" i="42" s="1"/>
  <c r="B259" i="42" s="1"/>
  <c r="B260" i="42" s="1"/>
  <c r="B261" i="42" s="1"/>
  <c r="B262" i="42" s="1"/>
  <c r="B263" i="42" s="1"/>
  <c r="B264" i="42" s="1"/>
  <c r="B265" i="42" s="1"/>
  <c r="B266" i="42" s="1"/>
  <c r="B267" i="42" s="1"/>
  <c r="B268" i="42" s="1"/>
  <c r="B269" i="42" s="1"/>
  <c r="B270" i="42" s="1"/>
  <c r="B271" i="42" s="1"/>
  <c r="B272" i="42" s="1"/>
  <c r="B273" i="42" s="1"/>
  <c r="B274" i="42" s="1"/>
  <c r="B275" i="42" s="1"/>
  <c r="B276" i="42" s="1"/>
  <c r="B277" i="42" s="1"/>
  <c r="B278" i="42" s="1"/>
  <c r="B279" i="42" s="1"/>
  <c r="B280" i="42" s="1"/>
  <c r="B281" i="42" s="1"/>
  <c r="B282" i="42" s="1"/>
  <c r="B283" i="42" s="1"/>
  <c r="B284" i="42" s="1"/>
  <c r="B285" i="42" s="1"/>
  <c r="B286" i="42" s="1"/>
  <c r="B287" i="42" s="1"/>
  <c r="B288" i="42" s="1"/>
  <c r="B289" i="42" s="1"/>
  <c r="B290" i="42" s="1"/>
  <c r="B291" i="42" s="1"/>
  <c r="B292" i="42" s="1"/>
  <c r="B293" i="42" s="1"/>
  <c r="B294" i="42" s="1"/>
  <c r="B295" i="42" s="1"/>
  <c r="B296" i="42" s="1"/>
  <c r="B297" i="42" s="1"/>
  <c r="B298" i="42" s="1"/>
  <c r="B299" i="42" s="1"/>
  <c r="B300" i="42" s="1"/>
  <c r="B301" i="42" s="1"/>
  <c r="B302" i="42" s="1"/>
  <c r="B303" i="42" s="1"/>
  <c r="B304" i="42" s="1"/>
  <c r="B305" i="42" s="1"/>
  <c r="B306" i="42" s="1"/>
  <c r="B307" i="42" s="1"/>
  <c r="B308" i="42" s="1"/>
  <c r="B309" i="42" s="1"/>
  <c r="B310" i="42" s="1"/>
  <c r="B311" i="42" s="1"/>
  <c r="B312" i="42" s="1"/>
  <c r="B313" i="42" s="1"/>
  <c r="B314" i="42" s="1"/>
  <c r="B315" i="42" s="1"/>
  <c r="B316" i="42" s="1"/>
  <c r="B317" i="42" s="1"/>
  <c r="B318" i="42" s="1"/>
  <c r="B319" i="42" s="1"/>
  <c r="B320" i="42" s="1"/>
  <c r="B321" i="42" s="1"/>
  <c r="B322" i="42" s="1"/>
  <c r="B323" i="42" s="1"/>
  <c r="B324" i="42" s="1"/>
  <c r="B325" i="42" s="1"/>
  <c r="B326" i="42" s="1"/>
  <c r="B327" i="42" s="1"/>
  <c r="B328" i="42" s="1"/>
  <c r="B329" i="42" s="1"/>
  <c r="B330" i="42" s="1"/>
  <c r="B331" i="42" s="1"/>
  <c r="B332" i="42" s="1"/>
  <c r="B333" i="42" s="1"/>
  <c r="B334" i="42" s="1"/>
  <c r="B335" i="42" s="1"/>
  <c r="B336" i="42" s="1"/>
  <c r="B337" i="42" s="1"/>
  <c r="B338" i="42" s="1"/>
  <c r="B339" i="42" s="1"/>
  <c r="B340" i="42" s="1"/>
  <c r="B341" i="42" s="1"/>
  <c r="B342" i="42" s="1"/>
  <c r="B343" i="42" s="1"/>
  <c r="B344" i="42" s="1"/>
  <c r="B345" i="42" s="1"/>
  <c r="B346" i="42" s="1"/>
  <c r="B347" i="42" s="1"/>
  <c r="B348" i="42" s="1"/>
  <c r="B349" i="42" s="1"/>
  <c r="B350" i="42" s="1"/>
  <c r="B351" i="42" s="1"/>
  <c r="B352" i="42" s="1"/>
  <c r="B353" i="42" s="1"/>
  <c r="B354" i="42" s="1"/>
  <c r="B355" i="42" s="1"/>
  <c r="B356" i="42" s="1"/>
  <c r="B357" i="42" s="1"/>
  <c r="B358" i="42" s="1"/>
  <c r="B359" i="42" s="1"/>
  <c r="B360" i="42" s="1"/>
  <c r="B361" i="42" s="1"/>
  <c r="B362" i="42" s="1"/>
  <c r="B363" i="42" s="1"/>
  <c r="B364" i="42" s="1"/>
  <c r="B365" i="42" s="1"/>
  <c r="B366" i="42" s="1"/>
  <c r="B367" i="42" s="1"/>
  <c r="B368" i="42" s="1"/>
  <c r="B369" i="42" s="1"/>
  <c r="B370" i="42" s="1"/>
  <c r="B371" i="42" s="1"/>
  <c r="B372" i="42" s="1"/>
  <c r="B373" i="42" s="1"/>
  <c r="B374" i="42" s="1"/>
  <c r="B375" i="42" s="1"/>
  <c r="B376" i="42" s="1"/>
  <c r="B377" i="42" s="1"/>
  <c r="B378" i="42" s="1"/>
  <c r="B379" i="42" s="1"/>
  <c r="B380" i="42" s="1"/>
  <c r="B381" i="42" s="1"/>
  <c r="B382" i="42" s="1"/>
  <c r="B383" i="42" s="1"/>
  <c r="B384" i="42" s="1"/>
  <c r="B385" i="42" s="1"/>
  <c r="B386" i="42" s="1"/>
  <c r="B387" i="42" s="1"/>
  <c r="B388" i="42" s="1"/>
  <c r="B389" i="42" s="1"/>
  <c r="B390" i="42" s="1"/>
  <c r="B391" i="42" s="1"/>
  <c r="B392" i="42" s="1"/>
  <c r="B393" i="42" s="1"/>
  <c r="B394" i="42" s="1"/>
  <c r="B395" i="42" s="1"/>
  <c r="B396" i="42" s="1"/>
  <c r="B397" i="42" s="1"/>
  <c r="B398" i="42" s="1"/>
  <c r="B399" i="42" s="1"/>
  <c r="B400" i="42" s="1"/>
  <c r="B401" i="42" s="1"/>
  <c r="B402" i="42" s="1"/>
  <c r="B403" i="42" s="1"/>
  <c r="B404" i="42" s="1"/>
  <c r="B405" i="42" s="1"/>
  <c r="B406" i="42" s="1"/>
  <c r="B407" i="42" s="1"/>
  <c r="B408" i="42" s="1"/>
  <c r="B409" i="42" s="1"/>
  <c r="B410" i="42" s="1"/>
  <c r="B411" i="42" s="1"/>
  <c r="B412" i="42" s="1"/>
  <c r="B413" i="42" s="1"/>
  <c r="B414" i="42" s="1"/>
  <c r="B415" i="42" s="1"/>
  <c r="B416" i="42" s="1"/>
  <c r="B417" i="42" s="1"/>
  <c r="B418" i="42" s="1"/>
  <c r="B419" i="42" s="1"/>
  <c r="B420" i="42" s="1"/>
  <c r="B421" i="42" s="1"/>
  <c r="B422" i="42" s="1"/>
  <c r="B423" i="42" s="1"/>
  <c r="B424" i="42" s="1"/>
  <c r="B425" i="42" s="1"/>
  <c r="B426" i="42" s="1"/>
  <c r="B427" i="42" s="1"/>
  <c r="B428" i="42" s="1"/>
  <c r="B429" i="42" s="1"/>
  <c r="B430" i="42" s="1"/>
  <c r="B431" i="42" s="1"/>
  <c r="B432" i="42" s="1"/>
  <c r="B433" i="42" s="1"/>
  <c r="B434" i="42" s="1"/>
  <c r="B435" i="42" s="1"/>
  <c r="B436" i="42" s="1"/>
  <c r="B437" i="42" s="1"/>
  <c r="B438" i="42" s="1"/>
  <c r="B439" i="42" s="1"/>
  <c r="B440" i="42" s="1"/>
  <c r="B441" i="42" s="1"/>
  <c r="B442" i="42" s="1"/>
  <c r="B443" i="42" s="1"/>
  <c r="B444" i="42" s="1"/>
  <c r="B445" i="42" s="1"/>
  <c r="B446" i="42" s="1"/>
  <c r="B447" i="42" s="1"/>
  <c r="B448" i="42" s="1"/>
  <c r="B449" i="42" s="1"/>
  <c r="B450" i="42" s="1"/>
  <c r="B451" i="42" s="1"/>
  <c r="B452" i="42" s="1"/>
  <c r="B453" i="42" s="1"/>
  <c r="B454" i="42" s="1"/>
  <c r="B455" i="42" s="1"/>
  <c r="B456" i="42" s="1"/>
  <c r="B457" i="42" s="1"/>
  <c r="B458" i="42" s="1"/>
  <c r="B459" i="42" s="1"/>
  <c r="B460" i="42" s="1"/>
  <c r="B461" i="42" s="1"/>
  <c r="B462" i="42" s="1"/>
  <c r="B463" i="42" s="1"/>
  <c r="B464" i="42" s="1"/>
  <c r="B465" i="42" s="1"/>
  <c r="B466" i="42" s="1"/>
  <c r="B467" i="42" s="1"/>
  <c r="B468" i="42" s="1"/>
  <c r="B469" i="42" s="1"/>
  <c r="B470" i="42" s="1"/>
  <c r="B471" i="42" s="1"/>
  <c r="B472" i="42" s="1"/>
  <c r="B473" i="42" s="1"/>
  <c r="B474" i="42" s="1"/>
  <c r="B475" i="42" s="1"/>
  <c r="B476" i="42" s="1"/>
  <c r="B477" i="42" s="1"/>
  <c r="B478" i="42" s="1"/>
  <c r="B479" i="42" s="1"/>
  <c r="B480" i="42" s="1"/>
  <c r="B481" i="42" s="1"/>
  <c r="B482" i="42" s="1"/>
  <c r="B483" i="42" s="1"/>
  <c r="B484" i="42" s="1"/>
  <c r="B485" i="42" s="1"/>
  <c r="B486" i="42" s="1"/>
  <c r="B487" i="42" s="1"/>
  <c r="B488" i="42" s="1"/>
  <c r="B489" i="42" s="1"/>
  <c r="C38" i="42"/>
  <c r="C37" i="42"/>
  <c r="C36" i="42"/>
  <c r="C35" i="42"/>
  <c r="C34" i="42"/>
  <c r="C33" i="42"/>
  <c r="N32" i="42"/>
  <c r="P32" i="42" s="1"/>
  <c r="C31" i="42"/>
  <c r="C30" i="42"/>
  <c r="C29" i="42"/>
  <c r="C28" i="42"/>
  <c r="C27" i="42"/>
  <c r="C26" i="42"/>
  <c r="C25" i="42"/>
  <c r="C24" i="42"/>
  <c r="C23" i="42"/>
  <c r="N22" i="42"/>
  <c r="P22" i="42" s="1"/>
  <c r="C21" i="42"/>
  <c r="C20" i="42"/>
  <c r="C19" i="42"/>
  <c r="C18" i="42"/>
  <c r="C17" i="42"/>
  <c r="C16" i="42"/>
  <c r="C15" i="42"/>
  <c r="C14" i="42"/>
  <c r="C13" i="42"/>
  <c r="N12" i="42"/>
  <c r="P12" i="42" s="1"/>
  <c r="H19" i="41"/>
  <c r="C8" i="41"/>
  <c r="M7" i="41"/>
  <c r="C7" i="41"/>
  <c r="M6" i="41"/>
  <c r="M5" i="41"/>
  <c r="M4" i="41"/>
  <c r="M3" i="41"/>
  <c r="M2" i="41"/>
  <c r="G2" i="41"/>
  <c r="C2" i="41"/>
  <c r="F33" i="1"/>
  <c r="F32" i="1"/>
  <c r="G30" i="1"/>
  <c r="E28" i="41" s="1"/>
  <c r="E30" i="1"/>
  <c r="F30" i="1" s="1"/>
  <c r="F29" i="1"/>
  <c r="F28" i="1"/>
  <c r="F27" i="1"/>
  <c r="F26" i="1"/>
  <c r="F24" i="1"/>
  <c r="I23" i="1"/>
  <c r="H23" i="1"/>
  <c r="F22" i="1"/>
  <c r="F21" i="1"/>
  <c r="F19" i="1"/>
  <c r="F10" i="1"/>
  <c r="T247" i="42" l="1"/>
  <c r="T397" i="42"/>
  <c r="M408" i="42"/>
  <c r="M414" i="42"/>
  <c r="M435" i="42"/>
  <c r="W435" i="42" s="1"/>
  <c r="Q152" i="42"/>
  <c r="K205" i="42"/>
  <c r="M335" i="42"/>
  <c r="W335" i="42" s="1"/>
  <c r="T356" i="42"/>
  <c r="O382" i="42"/>
  <c r="O401" i="42"/>
  <c r="Q404" i="42"/>
  <c r="O408" i="42"/>
  <c r="O414" i="42"/>
  <c r="S430" i="42"/>
  <c r="S445" i="42"/>
  <c r="Q449" i="42"/>
  <c r="Q414" i="42"/>
  <c r="K420" i="42"/>
  <c r="K461" i="42"/>
  <c r="Q92" i="42"/>
  <c r="K111" i="42"/>
  <c r="O60" i="42"/>
  <c r="Q111" i="42"/>
  <c r="K164" i="42"/>
  <c r="T164" i="42" s="1"/>
  <c r="Q173" i="42"/>
  <c r="R173" i="42" s="1"/>
  <c r="S199" i="42"/>
  <c r="Q205" i="42"/>
  <c r="R205" i="42" s="1"/>
  <c r="Q223" i="42"/>
  <c r="R223" i="42" s="1"/>
  <c r="O228" i="42"/>
  <c r="Q242" i="42"/>
  <c r="Q254" i="42"/>
  <c r="R254" i="42" s="1"/>
  <c r="Q269" i="42"/>
  <c r="R269" i="42" s="1"/>
  <c r="Q335" i="42"/>
  <c r="Q343" i="42"/>
  <c r="Q375" i="42"/>
  <c r="S386" i="42"/>
  <c r="O420" i="42"/>
  <c r="R335" i="42"/>
  <c r="Q283" i="42"/>
  <c r="Q47" i="42"/>
  <c r="M68" i="42"/>
  <c r="W68" i="42" s="1"/>
  <c r="O173" i="42"/>
  <c r="M217" i="42"/>
  <c r="W217" i="42" s="1"/>
  <c r="M228" i="42"/>
  <c r="W228" i="42" s="1"/>
  <c r="O242" i="42"/>
  <c r="K248" i="42"/>
  <c r="R248" i="42" s="1"/>
  <c r="M269" i="42"/>
  <c r="W269" i="42" s="1"/>
  <c r="Q319" i="42"/>
  <c r="M325" i="42"/>
  <c r="W325" i="42" s="1"/>
  <c r="O335" i="42"/>
  <c r="M347" i="42"/>
  <c r="Q356" i="42"/>
  <c r="R356" i="42" s="1"/>
  <c r="K365" i="42"/>
  <c r="Q100" i="42"/>
  <c r="K107" i="42"/>
  <c r="S111" i="42"/>
  <c r="K124" i="42"/>
  <c r="O131" i="42"/>
  <c r="M153" i="42"/>
  <c r="W153" i="42" s="1"/>
  <c r="Q164" i="42"/>
  <c r="R164" i="42" s="1"/>
  <c r="S173" i="42"/>
  <c r="S242" i="42"/>
  <c r="Q248" i="42"/>
  <c r="O284" i="42"/>
  <c r="M320" i="42"/>
  <c r="W320" i="42" s="1"/>
  <c r="S375" i="42"/>
  <c r="Q420" i="42"/>
  <c r="R420" i="42" s="1"/>
  <c r="Q472" i="42"/>
  <c r="M61" i="42"/>
  <c r="W61" i="42" s="1"/>
  <c r="O78" i="42"/>
  <c r="M100" i="42"/>
  <c r="W100" i="42" s="1"/>
  <c r="Q213" i="42"/>
  <c r="Q249" i="42"/>
  <c r="S270" i="42"/>
  <c r="Q279" i="42"/>
  <c r="T279" i="42" s="1"/>
  <c r="S320" i="42"/>
  <c r="Q327" i="42"/>
  <c r="R327" i="42" s="1"/>
  <c r="M332" i="42"/>
  <c r="W332" i="42" s="1"/>
  <c r="K336" i="42"/>
  <c r="K380" i="42"/>
  <c r="O391" i="42"/>
  <c r="O398" i="42"/>
  <c r="O409" i="42"/>
  <c r="S436" i="42"/>
  <c r="Q450" i="42"/>
  <c r="K468" i="42"/>
  <c r="O380" i="42"/>
  <c r="Q462" i="42"/>
  <c r="R462" i="42" s="1"/>
  <c r="O468" i="42"/>
  <c r="O303" i="42"/>
  <c r="Q391" i="42"/>
  <c r="R391" i="42" s="1"/>
  <c r="O437" i="42"/>
  <c r="Q135" i="42"/>
  <c r="K118" i="42"/>
  <c r="K166" i="42"/>
  <c r="M184" i="42"/>
  <c r="W184" i="42" s="1"/>
  <c r="M214" i="42"/>
  <c r="W214" i="42" s="1"/>
  <c r="S219" i="42"/>
  <c r="Q225" i="42"/>
  <c r="K257" i="42"/>
  <c r="M299" i="42"/>
  <c r="Q337" i="42"/>
  <c r="Q372" i="42"/>
  <c r="Q380" i="42"/>
  <c r="K422" i="42"/>
  <c r="K433" i="42"/>
  <c r="M444" i="42"/>
  <c r="W444" i="42" s="1"/>
  <c r="M463" i="42"/>
  <c r="W463" i="42" s="1"/>
  <c r="Q82" i="42"/>
  <c r="O71" i="42"/>
  <c r="K96" i="42"/>
  <c r="Q138" i="42"/>
  <c r="K144" i="42"/>
  <c r="O150" i="42"/>
  <c r="O184" i="42"/>
  <c r="K233" i="42"/>
  <c r="Q266" i="42"/>
  <c r="Q272" i="42"/>
  <c r="O299" i="42"/>
  <c r="Q303" i="42"/>
  <c r="T303" i="42" s="1"/>
  <c r="M322" i="42"/>
  <c r="W322" i="42" s="1"/>
  <c r="S337" i="42"/>
  <c r="Q349" i="42"/>
  <c r="R349" i="42" s="1"/>
  <c r="Q417" i="42"/>
  <c r="R417" i="42" s="1"/>
  <c r="M433" i="42"/>
  <c r="O444" i="42"/>
  <c r="M448" i="42"/>
  <c r="W448" i="42" s="1"/>
  <c r="O98" i="42"/>
  <c r="Q191" i="42"/>
  <c r="Q154" i="42"/>
  <c r="O144" i="42"/>
  <c r="Q184" i="42"/>
  <c r="Q233" i="42"/>
  <c r="Q299" i="42"/>
  <c r="T299" i="42" s="1"/>
  <c r="S403" i="42"/>
  <c r="Q456" i="42"/>
  <c r="T456" i="42" s="1"/>
  <c r="O47" i="42"/>
  <c r="M173" i="42"/>
  <c r="W173" i="42" s="1"/>
  <c r="S107" i="42"/>
  <c r="O470" i="42"/>
  <c r="M487" i="42"/>
  <c r="M489" i="42" s="1"/>
  <c r="K146" i="42"/>
  <c r="T146" i="42" s="1"/>
  <c r="T269" i="42"/>
  <c r="K113" i="42"/>
  <c r="S332" i="42"/>
  <c r="K71" i="42"/>
  <c r="T92" i="42"/>
  <c r="Q109" i="42"/>
  <c r="Q119" i="42"/>
  <c r="T119" i="42" s="1"/>
  <c r="O128" i="42"/>
  <c r="K156" i="42"/>
  <c r="R156" i="42" s="1"/>
  <c r="O185" i="42"/>
  <c r="S220" i="42"/>
  <c r="Q323" i="42"/>
  <c r="R323" i="42" s="1"/>
  <c r="M346" i="42"/>
  <c r="Q413" i="42"/>
  <c r="R413" i="42" s="1"/>
  <c r="Q418" i="42"/>
  <c r="R418" i="42" s="1"/>
  <c r="K478" i="42"/>
  <c r="M141" i="42"/>
  <c r="W141" i="42" s="1"/>
  <c r="Q79" i="42"/>
  <c r="Q113" i="42"/>
  <c r="R113" i="42" s="1"/>
  <c r="M150" i="42"/>
  <c r="W150" i="42" s="1"/>
  <c r="Q150" i="42"/>
  <c r="M92" i="42"/>
  <c r="W92" i="42" s="1"/>
  <c r="Q114" i="42"/>
  <c r="K162" i="42"/>
  <c r="Q185" i="42"/>
  <c r="K191" i="42"/>
  <c r="O216" i="42"/>
  <c r="K227" i="42"/>
  <c r="K241" i="42"/>
  <c r="R241" i="42" s="1"/>
  <c r="M290" i="42"/>
  <c r="S323" i="42"/>
  <c r="O334" i="42"/>
  <c r="Q460" i="42"/>
  <c r="T154" i="42"/>
  <c r="R154" i="42"/>
  <c r="T430" i="42"/>
  <c r="O46" i="42"/>
  <c r="K109" i="42"/>
  <c r="T109" i="42" s="1"/>
  <c r="O117" i="42"/>
  <c r="O136" i="42"/>
  <c r="K159" i="42"/>
  <c r="Q182" i="42"/>
  <c r="M186" i="42"/>
  <c r="W186" i="42" s="1"/>
  <c r="M212" i="42"/>
  <c r="W212" i="42" s="1"/>
  <c r="Q215" i="42"/>
  <c r="R215" i="42" s="1"/>
  <c r="O219" i="42"/>
  <c r="Q226" i="42"/>
  <c r="Q232" i="42"/>
  <c r="M241" i="42"/>
  <c r="W241" i="42" s="1"/>
  <c r="S247" i="42"/>
  <c r="M250" i="42"/>
  <c r="W250" i="42" s="1"/>
  <c r="O254" i="42"/>
  <c r="Q268" i="42"/>
  <c r="K279" i="42"/>
  <c r="O283" i="42"/>
  <c r="K293" i="42"/>
  <c r="K305" i="42"/>
  <c r="K311" i="42"/>
  <c r="T311" i="42" s="1"/>
  <c r="O319" i="42"/>
  <c r="O332" i="42"/>
  <c r="Q467" i="42"/>
  <c r="T467" i="42" s="1"/>
  <c r="K152" i="42"/>
  <c r="T152" i="42" s="1"/>
  <c r="Q94" i="42"/>
  <c r="O109" i="42"/>
  <c r="K128" i="42"/>
  <c r="K141" i="42"/>
  <c r="Q145" i="42"/>
  <c r="S155" i="42"/>
  <c r="O186" i="42"/>
  <c r="K190" i="42"/>
  <c r="Q197" i="42"/>
  <c r="O212" i="42"/>
  <c r="Q237" i="42"/>
  <c r="M245" i="42"/>
  <c r="W245" i="42" s="1"/>
  <c r="O250" i="42"/>
  <c r="S258" i="42"/>
  <c r="M279" i="42"/>
  <c r="W279" i="42" s="1"/>
  <c r="K290" i="42"/>
  <c r="T290" i="42" s="1"/>
  <c r="M293" i="42"/>
  <c r="O311" i="42"/>
  <c r="Q315" i="42"/>
  <c r="T414" i="42"/>
  <c r="K454" i="42"/>
  <c r="M460" i="42"/>
  <c r="W460" i="42" s="1"/>
  <c r="Q474" i="42"/>
  <c r="Q46" i="42"/>
  <c r="O454" i="42"/>
  <c r="O460" i="42"/>
  <c r="T78" i="42"/>
  <c r="R109" i="42"/>
  <c r="T205" i="42"/>
  <c r="T248" i="42"/>
  <c r="T320" i="42"/>
  <c r="T335" i="42"/>
  <c r="K352" i="42"/>
  <c r="K362" i="42"/>
  <c r="K364" i="42"/>
  <c r="K367" i="42"/>
  <c r="K375" i="42"/>
  <c r="T375" i="42" s="1"/>
  <c r="K378" i="42"/>
  <c r="T378" i="42" s="1"/>
  <c r="K386" i="42"/>
  <c r="Q464" i="42"/>
  <c r="M482" i="42"/>
  <c r="K47" i="42"/>
  <c r="R47" i="42" s="1"/>
  <c r="Q53" i="42"/>
  <c r="K60" i="42"/>
  <c r="M118" i="42"/>
  <c r="W118" i="42" s="1"/>
  <c r="M124" i="42"/>
  <c r="W124" i="42" s="1"/>
  <c r="T138" i="42"/>
  <c r="O146" i="42"/>
  <c r="O205" i="42"/>
  <c r="Q208" i="42"/>
  <c r="Q216" i="42"/>
  <c r="S223" i="42"/>
  <c r="M233" i="42"/>
  <c r="W233" i="42" s="1"/>
  <c r="Q245" i="42"/>
  <c r="M248" i="42"/>
  <c r="W248" i="42" s="1"/>
  <c r="Q255" i="42"/>
  <c r="O269" i="42"/>
  <c r="O273" i="42"/>
  <c r="Q290" i="42"/>
  <c r="R290" i="42" s="1"/>
  <c r="Q345" i="42"/>
  <c r="M352" i="42"/>
  <c r="M362" i="42"/>
  <c r="M364" i="42"/>
  <c r="M375" i="42"/>
  <c r="M378" i="42"/>
  <c r="W378" i="42" s="1"/>
  <c r="M386" i="42"/>
  <c r="W386" i="42" s="1"/>
  <c r="Q395" i="42"/>
  <c r="K401" i="42"/>
  <c r="T401" i="42" s="1"/>
  <c r="K418" i="42"/>
  <c r="Q433" i="42"/>
  <c r="T445" i="42"/>
  <c r="O482" i="42"/>
  <c r="O485" i="42" s="1"/>
  <c r="O37" i="42" s="1"/>
  <c r="R100" i="42"/>
  <c r="T184" i="42"/>
  <c r="T191" i="42"/>
  <c r="R233" i="42"/>
  <c r="Q251" i="42"/>
  <c r="Q273" i="42"/>
  <c r="M280" i="42"/>
  <c r="W280" i="42" s="1"/>
  <c r="M284" i="42"/>
  <c r="W284" i="42" s="1"/>
  <c r="K303" i="42"/>
  <c r="M306" i="42"/>
  <c r="O320" i="42"/>
  <c r="K333" i="42"/>
  <c r="S335" i="42"/>
  <c r="O349" i="42"/>
  <c r="S372" i="42"/>
  <c r="K389" i="42"/>
  <c r="S414" i="42"/>
  <c r="K437" i="42"/>
  <c r="K448" i="42"/>
  <c r="T107" i="42"/>
  <c r="T199" i="42"/>
  <c r="M54" i="42"/>
  <c r="W54" i="42" s="1"/>
  <c r="Q60" i="42"/>
  <c r="Q78" i="42"/>
  <c r="R78" i="42" s="1"/>
  <c r="Q96" i="42"/>
  <c r="Q115" i="42"/>
  <c r="R115" i="42" s="1"/>
  <c r="K125" i="42"/>
  <c r="T125" i="42" s="1"/>
  <c r="M147" i="42"/>
  <c r="W147" i="42" s="1"/>
  <c r="M154" i="42"/>
  <c r="W154" i="42" s="1"/>
  <c r="K217" i="42"/>
  <c r="R220" i="42"/>
  <c r="Q409" i="42"/>
  <c r="T409" i="42" s="1"/>
  <c r="K415" i="42"/>
  <c r="M422" i="42"/>
  <c r="Q465" i="42"/>
  <c r="K472" i="42"/>
  <c r="T472" i="42" s="1"/>
  <c r="M478" i="42"/>
  <c r="Q67" i="42"/>
  <c r="M125" i="42"/>
  <c r="W125" i="42" s="1"/>
  <c r="O154" i="42"/>
  <c r="Q307" i="42"/>
  <c r="R307" i="42" s="1"/>
  <c r="O384" i="42"/>
  <c r="Q401" i="42"/>
  <c r="K407" i="42"/>
  <c r="S409" i="42"/>
  <c r="O415" i="42"/>
  <c r="K431" i="42"/>
  <c r="T431" i="42" s="1"/>
  <c r="Q437" i="42"/>
  <c r="O472" i="42"/>
  <c r="Q86" i="42"/>
  <c r="Q89" i="42" s="1"/>
  <c r="M115" i="42"/>
  <c r="W115" i="42" s="1"/>
  <c r="O119" i="42"/>
  <c r="Q147" i="42"/>
  <c r="R147" i="42" s="1"/>
  <c r="Q151" i="42"/>
  <c r="K157" i="42"/>
  <c r="O162" i="42"/>
  <c r="M166" i="42"/>
  <c r="W166" i="42" s="1"/>
  <c r="M181" i="42"/>
  <c r="W181" i="42" s="1"/>
  <c r="S184" i="42"/>
  <c r="Q188" i="42"/>
  <c r="R188" i="42" s="1"/>
  <c r="M203" i="42"/>
  <c r="W203" i="42" s="1"/>
  <c r="K206" i="42"/>
  <c r="T206" i="42" s="1"/>
  <c r="O214" i="42"/>
  <c r="O225" i="42"/>
  <c r="Q239" i="42"/>
  <c r="Q246" i="42"/>
  <c r="K249" i="42"/>
  <c r="T249" i="42" s="1"/>
  <c r="M257" i="42"/>
  <c r="W257" i="42" s="1"/>
  <c r="M261" i="42"/>
  <c r="W261" i="42" s="1"/>
  <c r="Q285" i="42"/>
  <c r="Q300" i="42"/>
  <c r="K307" i="42"/>
  <c r="K313" i="42"/>
  <c r="Q317" i="42"/>
  <c r="R317" i="42" s="1"/>
  <c r="K326" i="42"/>
  <c r="K334" i="42"/>
  <c r="O336" i="42"/>
  <c r="M356" i="42"/>
  <c r="W356" i="42" s="1"/>
  <c r="M365" i="42"/>
  <c r="O373" i="42"/>
  <c r="T393" i="42"/>
  <c r="T404" i="42"/>
  <c r="T462" i="42"/>
  <c r="K466" i="42"/>
  <c r="R466" i="42" s="1"/>
  <c r="O115" i="42"/>
  <c r="Q125" i="42"/>
  <c r="M131" i="42"/>
  <c r="W131" i="42" s="1"/>
  <c r="O135" i="42"/>
  <c r="S151" i="42"/>
  <c r="M157" i="42"/>
  <c r="W157" i="42" s="1"/>
  <c r="O181" i="42"/>
  <c r="O203" i="42"/>
  <c r="M206" i="42"/>
  <c r="W206" i="42" s="1"/>
  <c r="Q210" i="42"/>
  <c r="K221" i="42"/>
  <c r="O243" i="42"/>
  <c r="S246" i="42"/>
  <c r="M249" i="42"/>
  <c r="W249" i="42" s="1"/>
  <c r="M253" i="42"/>
  <c r="W253" i="42" s="1"/>
  <c r="O261" i="42"/>
  <c r="Q267" i="42"/>
  <c r="R267" i="42" s="1"/>
  <c r="K271" i="42"/>
  <c r="M275" i="42"/>
  <c r="W275" i="42" s="1"/>
  <c r="S285" i="42"/>
  <c r="S300" i="42"/>
  <c r="M307" i="42"/>
  <c r="O313" i="42"/>
  <c r="S317" i="42"/>
  <c r="M330" i="42"/>
  <c r="W330" i="42" s="1"/>
  <c r="Q336" i="42"/>
  <c r="R336" i="42" s="1"/>
  <c r="Q347" i="42"/>
  <c r="R347" i="42" s="1"/>
  <c r="O356" i="42"/>
  <c r="O360" i="42"/>
  <c r="K382" i="42"/>
  <c r="T382" i="42" s="1"/>
  <c r="Q384" i="42"/>
  <c r="T384" i="42" s="1"/>
  <c r="Q387" i="42"/>
  <c r="Q415" i="42"/>
  <c r="Q422" i="42"/>
  <c r="M456" i="42"/>
  <c r="O462" i="42"/>
  <c r="K470" i="42"/>
  <c r="T470" i="42" s="1"/>
  <c r="K479" i="42"/>
  <c r="K387" i="42"/>
  <c r="K399" i="42"/>
  <c r="Q402" i="42"/>
  <c r="R402" i="42" s="1"/>
  <c r="Q407" i="42"/>
  <c r="R407" i="42" s="1"/>
  <c r="K419" i="42"/>
  <c r="R431" i="42"/>
  <c r="K435" i="42"/>
  <c r="T449" i="42"/>
  <c r="K148" i="42"/>
  <c r="M163" i="42"/>
  <c r="W163" i="42" s="1"/>
  <c r="Q181" i="42"/>
  <c r="Q203" i="42"/>
  <c r="R203" i="42" s="1"/>
  <c r="Q206" i="42"/>
  <c r="K211" i="42"/>
  <c r="K215" i="42"/>
  <c r="T215" i="42" s="1"/>
  <c r="K218" i="42"/>
  <c r="M247" i="42"/>
  <c r="W247" i="42" s="1"/>
  <c r="S249" i="42"/>
  <c r="Q257" i="42"/>
  <c r="R257" i="42" s="1"/>
  <c r="Q261" i="42"/>
  <c r="R261" i="42" s="1"/>
  <c r="K268" i="42"/>
  <c r="Q313" i="42"/>
  <c r="R313" i="42" s="1"/>
  <c r="K327" i="42"/>
  <c r="T327" i="42" s="1"/>
  <c r="K337" i="42"/>
  <c r="T337" i="42" s="1"/>
  <c r="K363" i="42"/>
  <c r="Q45" i="42"/>
  <c r="O51" i="42"/>
  <c r="O58" i="42"/>
  <c r="K80" i="42"/>
  <c r="S87" i="42"/>
  <c r="M152" i="42"/>
  <c r="W152" i="42" s="1"/>
  <c r="O163" i="42"/>
  <c r="S185" i="42"/>
  <c r="K189" i="42"/>
  <c r="O200" i="42"/>
  <c r="O211" i="42"/>
  <c r="M215" i="42"/>
  <c r="W215" i="42" s="1"/>
  <c r="K232" i="42"/>
  <c r="T232" i="42" s="1"/>
  <c r="Q235" i="42"/>
  <c r="R235" i="42" s="1"/>
  <c r="O247" i="42"/>
  <c r="Q253" i="42"/>
  <c r="R253" i="42" s="1"/>
  <c r="M268" i="42"/>
  <c r="W268" i="42" s="1"/>
  <c r="K272" i="42"/>
  <c r="K301" i="42"/>
  <c r="M327" i="42"/>
  <c r="W327" i="42" s="1"/>
  <c r="Q334" i="42"/>
  <c r="M337" i="42"/>
  <c r="W337" i="42" s="1"/>
  <c r="K351" i="42"/>
  <c r="K353" i="42"/>
  <c r="M363" i="42"/>
  <c r="K366" i="42"/>
  <c r="K374" i="42"/>
  <c r="Q382" i="42"/>
  <c r="M397" i="42"/>
  <c r="M402" i="42"/>
  <c r="W402" i="42" s="1"/>
  <c r="O413" i="42"/>
  <c r="Q416" i="42"/>
  <c r="K441" i="42"/>
  <c r="Q446" i="42"/>
  <c r="M467" i="42"/>
  <c r="W467" i="42" s="1"/>
  <c r="M480" i="42"/>
  <c r="O487" i="42"/>
  <c r="O489" i="42" s="1"/>
  <c r="O38" i="42" s="1"/>
  <c r="K51" i="42"/>
  <c r="Q76" i="42"/>
  <c r="T76" i="42" s="1"/>
  <c r="O80" i="42"/>
  <c r="K94" i="42"/>
  <c r="T94" i="42" s="1"/>
  <c r="K98" i="42"/>
  <c r="K136" i="42"/>
  <c r="O152" i="42"/>
  <c r="O167" i="42"/>
  <c r="Q189" i="42"/>
  <c r="R189" i="42" s="1"/>
  <c r="Q200" i="42"/>
  <c r="T219" i="42"/>
  <c r="K222" i="42"/>
  <c r="M232" i="42"/>
  <c r="W232" i="42" s="1"/>
  <c r="T254" i="42"/>
  <c r="M272" i="42"/>
  <c r="W272" i="42" s="1"/>
  <c r="K283" i="42"/>
  <c r="T283" i="42" s="1"/>
  <c r="O301" i="42"/>
  <c r="M314" i="42"/>
  <c r="W314" i="42" s="1"/>
  <c r="K319" i="42"/>
  <c r="T319" i="42" s="1"/>
  <c r="K323" i="42"/>
  <c r="Q344" i="42"/>
  <c r="M351" i="42"/>
  <c r="W351" i="42" s="1"/>
  <c r="Q361" i="42"/>
  <c r="M366" i="42"/>
  <c r="M374" i="42"/>
  <c r="K377" i="42"/>
  <c r="O402" i="42"/>
  <c r="Q423" i="42"/>
  <c r="M441" i="42"/>
  <c r="O467" i="42"/>
  <c r="Q470" i="42"/>
  <c r="K474" i="42"/>
  <c r="Q480" i="42"/>
  <c r="M58" i="42"/>
  <c r="W58" i="42" s="1"/>
  <c r="K46" i="42"/>
  <c r="T46" i="42" s="1"/>
  <c r="Q51" i="42"/>
  <c r="R51" i="42" s="1"/>
  <c r="Q58" i="42"/>
  <c r="R58" i="42" s="1"/>
  <c r="S76" i="42"/>
  <c r="M121" i="42"/>
  <c r="W121" i="42" s="1"/>
  <c r="Q132" i="42"/>
  <c r="K155" i="42"/>
  <c r="T155" i="42" s="1"/>
  <c r="Q167" i="42"/>
  <c r="S189" i="42"/>
  <c r="S200" i="42"/>
  <c r="Q207" i="42"/>
  <c r="M219" i="42"/>
  <c r="W219" i="42" s="1"/>
  <c r="M222" i="42"/>
  <c r="W222" i="42" s="1"/>
  <c r="M254" i="42"/>
  <c r="W254" i="42" s="1"/>
  <c r="O258" i="42"/>
  <c r="O314" i="42"/>
  <c r="O323" i="42"/>
  <c r="Q363" i="42"/>
  <c r="T380" i="42"/>
  <c r="Q383" i="42"/>
  <c r="T391" i="42"/>
  <c r="T420" i="42"/>
  <c r="T436" i="42"/>
  <c r="K463" i="42"/>
  <c r="M474" i="42"/>
  <c r="W474" i="42" s="1"/>
  <c r="S480" i="42"/>
  <c r="O91" i="42"/>
  <c r="K91" i="42"/>
  <c r="O101" i="42"/>
  <c r="K101" i="42"/>
  <c r="O133" i="42"/>
  <c r="M133" i="42"/>
  <c r="W133" i="42" s="1"/>
  <c r="O139" i="42"/>
  <c r="M139" i="42"/>
  <c r="W139" i="42" s="1"/>
  <c r="K139" i="42"/>
  <c r="O142" i="42"/>
  <c r="M142" i="42"/>
  <c r="W142" i="42" s="1"/>
  <c r="K142" i="42"/>
  <c r="O106" i="42"/>
  <c r="K106" i="42"/>
  <c r="Q126" i="42"/>
  <c r="K130" i="42"/>
  <c r="O126" i="42"/>
  <c r="M126" i="42"/>
  <c r="W126" i="42" s="1"/>
  <c r="K126" i="42"/>
  <c r="M180" i="42"/>
  <c r="W180" i="42" s="1"/>
  <c r="Q180" i="42"/>
  <c r="O180" i="42"/>
  <c r="K180" i="42"/>
  <c r="S86" i="42"/>
  <c r="Q101" i="42"/>
  <c r="T113" i="42"/>
  <c r="O49" i="42"/>
  <c r="O13" i="42" s="1"/>
  <c r="K52" i="42"/>
  <c r="S54" i="42"/>
  <c r="Q54" i="42"/>
  <c r="R54" i="42" s="1"/>
  <c r="Q91" i="42"/>
  <c r="S101" i="42"/>
  <c r="M106" i="42"/>
  <c r="W106" i="42" s="1"/>
  <c r="Q116" i="42"/>
  <c r="O130" i="42"/>
  <c r="O143" i="42"/>
  <c r="M143" i="42"/>
  <c r="W143" i="42" s="1"/>
  <c r="S166" i="42"/>
  <c r="Q166" i="42"/>
  <c r="R184" i="42"/>
  <c r="O127" i="42"/>
  <c r="M127" i="42"/>
  <c r="W127" i="42" s="1"/>
  <c r="O123" i="42"/>
  <c r="M123" i="42"/>
  <c r="W123" i="42" s="1"/>
  <c r="O54" i="42"/>
  <c r="Q70" i="42"/>
  <c r="S52" i="42"/>
  <c r="Q52" i="42"/>
  <c r="K59" i="42"/>
  <c r="S61" i="42"/>
  <c r="Q61" i="42"/>
  <c r="R61" i="42" s="1"/>
  <c r="O68" i="42"/>
  <c r="Q99" i="42"/>
  <c r="Q106" i="42"/>
  <c r="R111" i="42"/>
  <c r="K127" i="42"/>
  <c r="Q130" i="42"/>
  <c r="K140" i="42"/>
  <c r="S159" i="42"/>
  <c r="Q159" i="42"/>
  <c r="Q163" i="42"/>
  <c r="S68" i="42"/>
  <c r="Q68" i="42"/>
  <c r="T68" i="42" s="1"/>
  <c r="O140" i="42"/>
  <c r="M59" i="42"/>
  <c r="M97" i="42"/>
  <c r="W97" i="42" s="1"/>
  <c r="K97" i="42"/>
  <c r="T97" i="42" s="1"/>
  <c r="S134" i="42"/>
  <c r="Q134" i="42"/>
  <c r="R134" i="42" s="1"/>
  <c r="O193" i="42"/>
  <c r="K193" i="42"/>
  <c r="Q193" i="42"/>
  <c r="R193" i="42" s="1"/>
  <c r="M193" i="42"/>
  <c r="W193" i="42" s="1"/>
  <c r="M112" i="42"/>
  <c r="W112" i="42" s="1"/>
  <c r="K112" i="42"/>
  <c r="R119" i="42"/>
  <c r="S124" i="42"/>
  <c r="Q124" i="42"/>
  <c r="Q140" i="42"/>
  <c r="T218" i="42"/>
  <c r="K69" i="42"/>
  <c r="O112" i="42"/>
  <c r="Q117" i="42"/>
  <c r="O69" i="42"/>
  <c r="R92" i="42"/>
  <c r="K95" i="42"/>
  <c r="T100" i="42"/>
  <c r="S112" i="42"/>
  <c r="Q112" i="42"/>
  <c r="R112" i="42" s="1"/>
  <c r="Q148" i="42"/>
  <c r="O161" i="42"/>
  <c r="M161" i="42"/>
  <c r="W161" i="42" s="1"/>
  <c r="K161" i="42"/>
  <c r="Q161" i="42"/>
  <c r="R161" i="42" s="1"/>
  <c r="Q80" i="42"/>
  <c r="R80" i="42" s="1"/>
  <c r="S97" i="42"/>
  <c r="Q97" i="42"/>
  <c r="S144" i="42"/>
  <c r="Q144" i="42"/>
  <c r="R144" i="42" s="1"/>
  <c r="Q62" i="42"/>
  <c r="R62" i="42" s="1"/>
  <c r="O76" i="42"/>
  <c r="M76" i="42"/>
  <c r="K81" i="42"/>
  <c r="M95" i="42"/>
  <c r="W95" i="42" s="1"/>
  <c r="K110" i="42"/>
  <c r="T110" i="42" s="1"/>
  <c r="T115" i="42"/>
  <c r="W117" i="42"/>
  <c r="Q128" i="42"/>
  <c r="R128" i="42" s="1"/>
  <c r="S146" i="42"/>
  <c r="Q146" i="42"/>
  <c r="Q69" i="42"/>
  <c r="R69" i="42" s="1"/>
  <c r="M81" i="42"/>
  <c r="W81" i="42" s="1"/>
  <c r="S95" i="42"/>
  <c r="Q95" i="42"/>
  <c r="O105" i="42"/>
  <c r="M105" i="42"/>
  <c r="W105" i="42" s="1"/>
  <c r="R107" i="42"/>
  <c r="K149" i="42"/>
  <c r="O149" i="42"/>
  <c r="M149" i="42"/>
  <c r="W149" i="42" s="1"/>
  <c r="O137" i="42"/>
  <c r="M137" i="42"/>
  <c r="W137" i="42" s="1"/>
  <c r="S157" i="42"/>
  <c r="Q157" i="42"/>
  <c r="Q63" i="42"/>
  <c r="M52" i="42"/>
  <c r="R150" i="42"/>
  <c r="T150" i="42"/>
  <c r="O62" i="42"/>
  <c r="M62" i="42"/>
  <c r="W62" i="42" s="1"/>
  <c r="T51" i="42"/>
  <c r="O86" i="42"/>
  <c r="K86" i="42"/>
  <c r="O93" i="42"/>
  <c r="M93" i="42"/>
  <c r="W93" i="42" s="1"/>
  <c r="K93" i="42"/>
  <c r="Q105" i="42"/>
  <c r="O113" i="42"/>
  <c r="O129" i="42"/>
  <c r="M129" i="42"/>
  <c r="W129" i="42" s="1"/>
  <c r="K129" i="42"/>
  <c r="Q129" i="42"/>
  <c r="T173" i="42"/>
  <c r="O77" i="42"/>
  <c r="K77" i="42"/>
  <c r="O116" i="42"/>
  <c r="K116" i="42"/>
  <c r="Q77" i="42"/>
  <c r="T58" i="42"/>
  <c r="O72" i="42"/>
  <c r="K72" i="42"/>
  <c r="T72" i="42" s="1"/>
  <c r="S81" i="42"/>
  <c r="Q81" i="42"/>
  <c r="S110" i="42"/>
  <c r="Q110" i="42"/>
  <c r="R138" i="42"/>
  <c r="T47" i="42"/>
  <c r="O63" i="42"/>
  <c r="K63" i="42"/>
  <c r="Q72" i="42"/>
  <c r="O79" i="42"/>
  <c r="M79" i="42"/>
  <c r="W79" i="42" s="1"/>
  <c r="K79" i="42"/>
  <c r="M86" i="42"/>
  <c r="Q93" i="42"/>
  <c r="R93" i="42" s="1"/>
  <c r="Q98" i="42"/>
  <c r="Q108" i="42"/>
  <c r="O108" i="42"/>
  <c r="M108" i="42"/>
  <c r="W108" i="42" s="1"/>
  <c r="K108" i="42"/>
  <c r="S165" i="42"/>
  <c r="Q165" i="42"/>
  <c r="R165" i="42" s="1"/>
  <c r="O179" i="42"/>
  <c r="M179" i="42"/>
  <c r="W179" i="42" s="1"/>
  <c r="K179" i="42"/>
  <c r="S228" i="42"/>
  <c r="Q228" i="42"/>
  <c r="R228" i="42" s="1"/>
  <c r="K246" i="42"/>
  <c r="O246" i="42"/>
  <c r="M246" i="42"/>
  <c r="W246" i="42" s="1"/>
  <c r="Q179" i="42"/>
  <c r="T203" i="42"/>
  <c r="M218" i="42"/>
  <c r="W218" i="42" s="1"/>
  <c r="O252" i="42"/>
  <c r="M252" i="42"/>
  <c r="W252" i="42" s="1"/>
  <c r="K252" i="42"/>
  <c r="O176" i="42"/>
  <c r="O23" i="42" s="1"/>
  <c r="M198" i="42"/>
  <c r="W198" i="42" s="1"/>
  <c r="Q218" i="42"/>
  <c r="R218" i="42" s="1"/>
  <c r="O223" i="42"/>
  <c r="M223" i="42"/>
  <c r="W223" i="42" s="1"/>
  <c r="K223" i="42"/>
  <c r="O234" i="42"/>
  <c r="K234" i="42"/>
  <c r="Q244" i="42"/>
  <c r="R244" i="42" s="1"/>
  <c r="M244" i="42"/>
  <c r="W244" i="42" s="1"/>
  <c r="O256" i="42"/>
  <c r="Q256" i="42"/>
  <c r="R256" i="42" s="1"/>
  <c r="M256" i="42"/>
  <c r="W256" i="42" s="1"/>
  <c r="K256" i="42"/>
  <c r="Q142" i="42"/>
  <c r="O198" i="42"/>
  <c r="K238" i="42"/>
  <c r="Q238" i="42"/>
  <c r="M238" i="42"/>
  <c r="W238" i="42" s="1"/>
  <c r="Q252" i="42"/>
  <c r="K153" i="42"/>
  <c r="T153" i="42" s="1"/>
  <c r="M159" i="42"/>
  <c r="W159" i="42" s="1"/>
  <c r="O208" i="42"/>
  <c r="K208" i="42"/>
  <c r="T208" i="42" s="1"/>
  <c r="S218" i="42"/>
  <c r="O221" i="42"/>
  <c r="Q234" i="42"/>
  <c r="O238" i="42"/>
  <c r="O244" i="42"/>
  <c r="O318" i="42"/>
  <c r="M318" i="42"/>
  <c r="W318" i="42" s="1"/>
  <c r="K318" i="42"/>
  <c r="O147" i="42"/>
  <c r="M155" i="42"/>
  <c r="W155" i="42" s="1"/>
  <c r="S182" i="42"/>
  <c r="K187" i="42"/>
  <c r="M189" i="42"/>
  <c r="W189" i="42" s="1"/>
  <c r="Q221" i="42"/>
  <c r="R221" i="42" s="1"/>
  <c r="R247" i="42"/>
  <c r="S260" i="42"/>
  <c r="Q260" i="42"/>
  <c r="R260" i="42" s="1"/>
  <c r="O145" i="42"/>
  <c r="M145" i="42"/>
  <c r="W145" i="42" s="1"/>
  <c r="K145" i="42"/>
  <c r="T145" i="42" s="1"/>
  <c r="Q153" i="42"/>
  <c r="R155" i="42"/>
  <c r="M178" i="42"/>
  <c r="K178" i="42"/>
  <c r="M187" i="42"/>
  <c r="W187" i="42" s="1"/>
  <c r="O224" i="42"/>
  <c r="K224" i="42"/>
  <c r="O331" i="42"/>
  <c r="M331" i="42"/>
  <c r="W331" i="42" s="1"/>
  <c r="K331" i="42"/>
  <c r="S149" i="42"/>
  <c r="Q149" i="42"/>
  <c r="M160" i="42"/>
  <c r="W160" i="42" s="1"/>
  <c r="K160" i="42"/>
  <c r="Q187" i="42"/>
  <c r="M209" i="42"/>
  <c r="W209" i="42" s="1"/>
  <c r="K209" i="42"/>
  <c r="S211" i="42"/>
  <c r="Q211" i="42"/>
  <c r="R211" i="42" s="1"/>
  <c r="S293" i="42"/>
  <c r="Q293" i="42"/>
  <c r="R293" i="42" s="1"/>
  <c r="S331" i="42"/>
  <c r="Q331" i="42"/>
  <c r="O192" i="42"/>
  <c r="M192" i="42"/>
  <c r="W192" i="42" s="1"/>
  <c r="O204" i="42"/>
  <c r="O230" i="42" s="1"/>
  <c r="O25" i="42" s="1"/>
  <c r="M204" i="42"/>
  <c r="W204" i="42" s="1"/>
  <c r="S302" i="42"/>
  <c r="Q302" i="42"/>
  <c r="S314" i="42"/>
  <c r="Q314" i="42"/>
  <c r="Q162" i="42"/>
  <c r="R162" i="42" s="1"/>
  <c r="K174" i="42"/>
  <c r="Q178" i="42"/>
  <c r="S187" i="42"/>
  <c r="K192" i="42"/>
  <c r="T192" i="42" s="1"/>
  <c r="K204" i="42"/>
  <c r="Q224" i="42"/>
  <c r="T284" i="42"/>
  <c r="R284" i="42"/>
  <c r="K45" i="42"/>
  <c r="K53" i="42"/>
  <c r="K67" i="42"/>
  <c r="Q71" i="42"/>
  <c r="R71" i="42" s="1"/>
  <c r="K82" i="42"/>
  <c r="Q123" i="42"/>
  <c r="Q131" i="42"/>
  <c r="R131" i="42" s="1"/>
  <c r="T156" i="42"/>
  <c r="O158" i="42"/>
  <c r="M158" i="42"/>
  <c r="W158" i="42" s="1"/>
  <c r="Q160" i="42"/>
  <c r="M174" i="42"/>
  <c r="W174" i="42" s="1"/>
  <c r="Q192" i="42"/>
  <c r="R199" i="42"/>
  <c r="Q204" i="42"/>
  <c r="Q209" i="42"/>
  <c r="S227" i="42"/>
  <c r="Q227" i="42"/>
  <c r="O236" i="42"/>
  <c r="M236" i="42"/>
  <c r="W236" i="42" s="1"/>
  <c r="Q236" i="42"/>
  <c r="K236" i="42"/>
  <c r="T236" i="42" s="1"/>
  <c r="S284" i="42"/>
  <c r="Q328" i="42"/>
  <c r="R328" i="42" s="1"/>
  <c r="M328" i="42"/>
  <c r="W328" i="42" s="1"/>
  <c r="K328" i="42"/>
  <c r="O328" i="42"/>
  <c r="M45" i="42"/>
  <c r="M49" i="42" s="1"/>
  <c r="M53" i="42"/>
  <c r="W53" i="42" s="1"/>
  <c r="Q59" i="42"/>
  <c r="M67" i="42"/>
  <c r="K70" i="42"/>
  <c r="M82" i="42"/>
  <c r="W82" i="42" s="1"/>
  <c r="M96" i="42"/>
  <c r="W96" i="42" s="1"/>
  <c r="K99" i="42"/>
  <c r="M111" i="42"/>
  <c r="W111" i="42" s="1"/>
  <c r="K114" i="42"/>
  <c r="T114" i="42" s="1"/>
  <c r="Q118" i="42"/>
  <c r="S133" i="42"/>
  <c r="Q133" i="42"/>
  <c r="R133" i="42" s="1"/>
  <c r="Q137" i="42"/>
  <c r="R137" i="42" s="1"/>
  <c r="Q139" i="42"/>
  <c r="Q141" i="42"/>
  <c r="R141" i="42" s="1"/>
  <c r="Q143" i="42"/>
  <c r="R143" i="42" s="1"/>
  <c r="M156" i="42"/>
  <c r="W156" i="42" s="1"/>
  <c r="K158" i="42"/>
  <c r="Q174" i="42"/>
  <c r="O183" i="42"/>
  <c r="T188" i="42"/>
  <c r="O190" i="42"/>
  <c r="K202" i="42"/>
  <c r="M70" i="42"/>
  <c r="W70" i="42" s="1"/>
  <c r="K87" i="42"/>
  <c r="T87" i="42" s="1"/>
  <c r="M99" i="42"/>
  <c r="M114" i="42"/>
  <c r="W114" i="42" s="1"/>
  <c r="K117" i="42"/>
  <c r="Q127" i="42"/>
  <c r="S135" i="42"/>
  <c r="Q158" i="42"/>
  <c r="M165" i="42"/>
  <c r="S183" i="42"/>
  <c r="Q183" i="42"/>
  <c r="R183" i="42" s="1"/>
  <c r="M202" i="42"/>
  <c r="W202" i="42" s="1"/>
  <c r="S212" i="42"/>
  <c r="Q212" i="42"/>
  <c r="O220" i="42"/>
  <c r="M220" i="42"/>
  <c r="W220" i="42" s="1"/>
  <c r="Q222" i="42"/>
  <c r="K262" i="42"/>
  <c r="T262" i="42" s="1"/>
  <c r="M262" i="42"/>
  <c r="W262" i="42" s="1"/>
  <c r="Q291" i="42"/>
  <c r="O291" i="42"/>
  <c r="O296" i="42" s="1"/>
  <c r="O29" i="42" s="1"/>
  <c r="M291" i="42"/>
  <c r="K291" i="42"/>
  <c r="S137" i="42"/>
  <c r="O165" i="42"/>
  <c r="Q190" i="42"/>
  <c r="R190" i="42" s="1"/>
  <c r="Q202" i="42"/>
  <c r="O207" i="42"/>
  <c r="M207" i="42"/>
  <c r="W207" i="42" s="1"/>
  <c r="K207" i="42"/>
  <c r="T220" i="42"/>
  <c r="O240" i="42"/>
  <c r="Q240" i="42"/>
  <c r="K240" i="42"/>
  <c r="T307" i="42"/>
  <c r="O321" i="42"/>
  <c r="M321" i="42"/>
  <c r="W321" i="42" s="1"/>
  <c r="K321" i="42"/>
  <c r="K348" i="42"/>
  <c r="O348" i="42"/>
  <c r="M348" i="42"/>
  <c r="Q353" i="42"/>
  <c r="R353" i="42" s="1"/>
  <c r="S353" i="42"/>
  <c r="O379" i="42"/>
  <c r="K379" i="42"/>
  <c r="Q379" i="42"/>
  <c r="M379" i="42"/>
  <c r="Q262" i="42"/>
  <c r="M271" i="42"/>
  <c r="W271" i="42" s="1"/>
  <c r="O280" i="42"/>
  <c r="O305" i="42"/>
  <c r="O312" i="42"/>
  <c r="M312" i="42"/>
  <c r="W312" i="42" s="1"/>
  <c r="K312" i="42"/>
  <c r="T312" i="42" s="1"/>
  <c r="Q280" i="42"/>
  <c r="O267" i="42"/>
  <c r="M267" i="42"/>
  <c r="W267" i="42" s="1"/>
  <c r="Q271" i="42"/>
  <c r="R271" i="42" s="1"/>
  <c r="O285" i="42"/>
  <c r="M285" i="42"/>
  <c r="W285" i="42" s="1"/>
  <c r="K285" i="42"/>
  <c r="T285" i="42" s="1"/>
  <c r="O298" i="42"/>
  <c r="K298" i="42"/>
  <c r="Q305" i="42"/>
  <c r="R305" i="42" s="1"/>
  <c r="R334" i="42"/>
  <c r="T343" i="42"/>
  <c r="S354" i="42"/>
  <c r="Q354" i="42"/>
  <c r="T363" i="42"/>
  <c r="R363" i="42"/>
  <c r="R393" i="42"/>
  <c r="S280" i="42"/>
  <c r="M358" i="42"/>
  <c r="W358" i="42" s="1"/>
  <c r="O358" i="42"/>
  <c r="K358" i="42"/>
  <c r="T358" i="42" s="1"/>
  <c r="S298" i="42"/>
  <c r="Q298" i="42"/>
  <c r="K371" i="42"/>
  <c r="O371" i="42"/>
  <c r="M371" i="42"/>
  <c r="Q399" i="42"/>
  <c r="S399" i="42"/>
  <c r="S234" i="42"/>
  <c r="K274" i="42"/>
  <c r="R332" i="42"/>
  <c r="S346" i="42"/>
  <c r="Q346" i="42"/>
  <c r="T427" i="42"/>
  <c r="Q198" i="42"/>
  <c r="R198" i="42" s="1"/>
  <c r="K210" i="42"/>
  <c r="Q214" i="42"/>
  <c r="R214" i="42" s="1"/>
  <c r="K226" i="42"/>
  <c r="Q250" i="42"/>
  <c r="R250" i="42" s="1"/>
  <c r="S269" i="42"/>
  <c r="O274" i="42"/>
  <c r="K292" i="42"/>
  <c r="R303" i="42"/>
  <c r="K316" i="42"/>
  <c r="M316" i="42"/>
  <c r="W316" i="42" s="1"/>
  <c r="K132" i="42"/>
  <c r="Q136" i="42"/>
  <c r="R136" i="42" s="1"/>
  <c r="K182" i="42"/>
  <c r="T182" i="42" s="1"/>
  <c r="Q186" i="42"/>
  <c r="R186" i="42" s="1"/>
  <c r="K197" i="42"/>
  <c r="R197" i="42" s="1"/>
  <c r="Q201" i="42"/>
  <c r="R201" i="42" s="1"/>
  <c r="M210" i="42"/>
  <c r="W210" i="42" s="1"/>
  <c r="K213" i="42"/>
  <c r="T213" i="42" s="1"/>
  <c r="Q217" i="42"/>
  <c r="R217" i="42" s="1"/>
  <c r="M226" i="42"/>
  <c r="W226" i="42" s="1"/>
  <c r="K235" i="42"/>
  <c r="S274" i="42"/>
  <c r="Q274" i="42"/>
  <c r="Q281" i="42"/>
  <c r="R281" i="42" s="1"/>
  <c r="M292" i="42"/>
  <c r="O316" i="42"/>
  <c r="Q326" i="42"/>
  <c r="T349" i="42"/>
  <c r="M132" i="42"/>
  <c r="W132" i="42" s="1"/>
  <c r="K135" i="42"/>
  <c r="M148" i="42"/>
  <c r="W148" i="42" s="1"/>
  <c r="K151" i="42"/>
  <c r="M164" i="42"/>
  <c r="W164" i="42" s="1"/>
  <c r="K167" i="42"/>
  <c r="M182" i="42"/>
  <c r="W182" i="42" s="1"/>
  <c r="K185" i="42"/>
  <c r="M197" i="42"/>
  <c r="K200" i="42"/>
  <c r="T200" i="42" s="1"/>
  <c r="M213" i="42"/>
  <c r="W213" i="42" s="1"/>
  <c r="K216" i="42"/>
  <c r="T216" i="42" s="1"/>
  <c r="T233" i="42"/>
  <c r="O235" i="42"/>
  <c r="K237" i="42"/>
  <c r="O239" i="42"/>
  <c r="M239" i="42"/>
  <c r="W239" i="42" s="1"/>
  <c r="K239" i="42"/>
  <c r="S250" i="42"/>
  <c r="K259" i="42"/>
  <c r="K286" i="42"/>
  <c r="Q294" i="42"/>
  <c r="Q306" i="42"/>
  <c r="R319" i="42"/>
  <c r="T347" i="42"/>
  <c r="M237" i="42"/>
  <c r="W237" i="42" s="1"/>
  <c r="K243" i="42"/>
  <c r="M251" i="42"/>
  <c r="W251" i="42" s="1"/>
  <c r="K251" i="42"/>
  <c r="O255" i="42"/>
  <c r="M255" i="42"/>
  <c r="W255" i="42" s="1"/>
  <c r="K255" i="42"/>
  <c r="O259" i="42"/>
  <c r="O270" i="42"/>
  <c r="M270" i="42"/>
  <c r="W270" i="42" s="1"/>
  <c r="K270" i="42"/>
  <c r="T270" i="42" s="1"/>
  <c r="K275" i="42"/>
  <c r="M286" i="42"/>
  <c r="W286" i="42" s="1"/>
  <c r="Q292" i="42"/>
  <c r="O304" i="42"/>
  <c r="K304" i="42"/>
  <c r="Q316" i="42"/>
  <c r="S259" i="42"/>
  <c r="Q259" i="42"/>
  <c r="R259" i="42" s="1"/>
  <c r="T268" i="42"/>
  <c r="T317" i="42"/>
  <c r="S350" i="42"/>
  <c r="Q350" i="42"/>
  <c r="M381" i="42"/>
  <c r="W381" i="42" s="1"/>
  <c r="K381" i="42"/>
  <c r="Q381" i="42"/>
  <c r="O381" i="42"/>
  <c r="K225" i="42"/>
  <c r="T225" i="42" s="1"/>
  <c r="S243" i="42"/>
  <c r="Q243" i="42"/>
  <c r="S255" i="42"/>
  <c r="M266" i="42"/>
  <c r="K266" i="42"/>
  <c r="R266" i="42" s="1"/>
  <c r="Q282" i="42"/>
  <c r="O282" i="42"/>
  <c r="O288" i="42" s="1"/>
  <c r="O28" i="42" s="1"/>
  <c r="M282" i="42"/>
  <c r="Q286" i="42"/>
  <c r="R299" i="42"/>
  <c r="K302" i="42"/>
  <c r="T302" i="42" s="1"/>
  <c r="O266" i="42"/>
  <c r="Q275" i="42"/>
  <c r="K282" i="42"/>
  <c r="M302" i="42"/>
  <c r="R320" i="42"/>
  <c r="O324" i="42"/>
  <c r="M324" i="42"/>
  <c r="W324" i="42" s="1"/>
  <c r="K324" i="42"/>
  <c r="S421" i="42"/>
  <c r="Q421" i="42"/>
  <c r="S426" i="42"/>
  <c r="Q426" i="42"/>
  <c r="S429" i="42"/>
  <c r="Q429" i="42"/>
  <c r="S444" i="42"/>
  <c r="Q444" i="42"/>
  <c r="S448" i="42"/>
  <c r="Q448" i="42"/>
  <c r="O367" i="42"/>
  <c r="O369" i="42"/>
  <c r="M369" i="42"/>
  <c r="O377" i="42"/>
  <c r="M419" i="42"/>
  <c r="O434" i="42"/>
  <c r="K434" i="42"/>
  <c r="T434" i="42" s="1"/>
  <c r="K322" i="42"/>
  <c r="K325" i="42"/>
  <c r="Q351" i="42"/>
  <c r="S356" i="42"/>
  <c r="M360" i="42"/>
  <c r="Q365" i="42"/>
  <c r="R365" i="42" s="1"/>
  <c r="K369" i="42"/>
  <c r="M385" i="42"/>
  <c r="W385" i="42" s="1"/>
  <c r="K385" i="42"/>
  <c r="M396" i="42"/>
  <c r="K396" i="42"/>
  <c r="R414" i="42"/>
  <c r="O427" i="42"/>
  <c r="M427" i="42"/>
  <c r="R436" i="42"/>
  <c r="S454" i="42"/>
  <c r="Q454" i="42"/>
  <c r="T471" i="42"/>
  <c r="R471" i="42"/>
  <c r="Q367" i="42"/>
  <c r="R367" i="42" s="1"/>
  <c r="Q377" i="42"/>
  <c r="R377" i="42" s="1"/>
  <c r="O400" i="42"/>
  <c r="K400" i="42"/>
  <c r="T400" i="42" s="1"/>
  <c r="Q419" i="42"/>
  <c r="O432" i="42"/>
  <c r="K432" i="42"/>
  <c r="O451" i="42"/>
  <c r="M451" i="42"/>
  <c r="K451" i="42"/>
  <c r="R343" i="42"/>
  <c r="K345" i="42"/>
  <c r="T345" i="42" s="1"/>
  <c r="Q348" i="42"/>
  <c r="R348" i="42" s="1"/>
  <c r="K350" i="42"/>
  <c r="T350" i="42" s="1"/>
  <c r="Q358" i="42"/>
  <c r="Q360" i="42"/>
  <c r="R360" i="42" s="1"/>
  <c r="Q369" i="42"/>
  <c r="Q371" i="42"/>
  <c r="Q373" i="42"/>
  <c r="M400" i="42"/>
  <c r="Q406" i="42"/>
  <c r="R406" i="42" s="1"/>
  <c r="S427" i="42"/>
  <c r="Q427" i="42"/>
  <c r="R427" i="42" s="1"/>
  <c r="M432" i="42"/>
  <c r="S434" i="42"/>
  <c r="O443" i="42"/>
  <c r="K443" i="42"/>
  <c r="O447" i="42"/>
  <c r="K447" i="42"/>
  <c r="S451" i="42"/>
  <c r="Q451" i="42"/>
  <c r="O345" i="42"/>
  <c r="M350" i="42"/>
  <c r="Q385" i="42"/>
  <c r="Q389" i="42"/>
  <c r="Q396" i="42"/>
  <c r="Q400" i="42"/>
  <c r="S408" i="42"/>
  <c r="Q408" i="42"/>
  <c r="S424" i="42"/>
  <c r="Q424" i="42"/>
  <c r="S432" i="42"/>
  <c r="Q432" i="42"/>
  <c r="W441" i="42"/>
  <c r="Q322" i="42"/>
  <c r="Q325" i="42"/>
  <c r="K330" i="42"/>
  <c r="M353" i="42"/>
  <c r="W353" i="42" s="1"/>
  <c r="M355" i="42"/>
  <c r="W355" i="42" s="1"/>
  <c r="K355" i="42"/>
  <c r="R375" i="42"/>
  <c r="O394" i="42"/>
  <c r="K394" i="42"/>
  <c r="S400" i="42"/>
  <c r="R404" i="42"/>
  <c r="S443" i="42"/>
  <c r="Q443" i="42"/>
  <c r="Q458" i="42" s="1"/>
  <c r="S447" i="42"/>
  <c r="Q447" i="42"/>
  <c r="S398" i="42"/>
  <c r="Q398" i="42"/>
  <c r="O428" i="42"/>
  <c r="K428" i="42"/>
  <c r="O452" i="42"/>
  <c r="M452" i="42"/>
  <c r="K452" i="42"/>
  <c r="K357" i="42"/>
  <c r="M372" i="42"/>
  <c r="K372" i="42"/>
  <c r="T372" i="42" s="1"/>
  <c r="O390" i="42"/>
  <c r="K390" i="42"/>
  <c r="T390" i="42" s="1"/>
  <c r="O392" i="42"/>
  <c r="M392" i="42"/>
  <c r="S394" i="42"/>
  <c r="Q394" i="42"/>
  <c r="R422" i="42"/>
  <c r="M425" i="42"/>
  <c r="K425" i="42"/>
  <c r="M428" i="42"/>
  <c r="R430" i="42"/>
  <c r="T466" i="42"/>
  <c r="Q301" i="42"/>
  <c r="R301" i="42" s="1"/>
  <c r="O307" i="42"/>
  <c r="K315" i="42"/>
  <c r="T315" i="42" s="1"/>
  <c r="O327" i="42"/>
  <c r="Q333" i="42"/>
  <c r="R333" i="42" s="1"/>
  <c r="K344" i="42"/>
  <c r="T344" i="42" s="1"/>
  <c r="O347" i="42"/>
  <c r="Q355" i="42"/>
  <c r="M357" i="42"/>
  <c r="W357" i="42" s="1"/>
  <c r="M359" i="42"/>
  <c r="W359" i="42" s="1"/>
  <c r="K359" i="42"/>
  <c r="K361" i="42"/>
  <c r="Q364" i="42"/>
  <c r="R364" i="42" s="1"/>
  <c r="K368" i="42"/>
  <c r="O370" i="42"/>
  <c r="K370" i="42"/>
  <c r="O372" i="42"/>
  <c r="O376" i="42"/>
  <c r="K376" i="42"/>
  <c r="M390" i="42"/>
  <c r="K392" i="42"/>
  <c r="O425" i="42"/>
  <c r="R441" i="42"/>
  <c r="R445" i="42"/>
  <c r="R449" i="42"/>
  <c r="Q452" i="42"/>
  <c r="K242" i="42"/>
  <c r="K258" i="42"/>
  <c r="T258" i="42" s="1"/>
  <c r="K273" i="42"/>
  <c r="T273" i="42" s="1"/>
  <c r="K300" i="42"/>
  <c r="Q304" i="42"/>
  <c r="M315" i="42"/>
  <c r="W315" i="42" s="1"/>
  <c r="Q330" i="42"/>
  <c r="R330" i="42" s="1"/>
  <c r="S336" i="42"/>
  <c r="M344" i="42"/>
  <c r="Q357" i="42"/>
  <c r="R357" i="42" s="1"/>
  <c r="O359" i="42"/>
  <c r="M361" i="42"/>
  <c r="Q366" i="42"/>
  <c r="R366" i="42" s="1"/>
  <c r="O368" i="42"/>
  <c r="M370" i="42"/>
  <c r="M376" i="42"/>
  <c r="S392" i="42"/>
  <c r="Q392" i="42"/>
  <c r="O403" i="42"/>
  <c r="K403" i="42"/>
  <c r="T403" i="42" s="1"/>
  <c r="O405" i="42"/>
  <c r="M405" i="42"/>
  <c r="Q428" i="42"/>
  <c r="K489" i="42"/>
  <c r="K38" i="42" s="1"/>
  <c r="T487" i="42"/>
  <c r="T489" i="42" s="1"/>
  <c r="T38" i="42" s="1"/>
  <c r="M300" i="42"/>
  <c r="O315" i="42"/>
  <c r="O344" i="42"/>
  <c r="O361" i="42"/>
  <c r="S364" i="42"/>
  <c r="Q376" i="42"/>
  <c r="O388" i="42"/>
  <c r="K388" i="42"/>
  <c r="Q390" i="42"/>
  <c r="O423" i="42"/>
  <c r="K423" i="42"/>
  <c r="T423" i="42" s="1"/>
  <c r="Q425" i="42"/>
  <c r="S435" i="42"/>
  <c r="Q435" i="42"/>
  <c r="T441" i="42"/>
  <c r="O453" i="42"/>
  <c r="M453" i="42"/>
  <c r="W453" i="42" s="1"/>
  <c r="K453" i="42"/>
  <c r="R467" i="42"/>
  <c r="K294" i="42"/>
  <c r="T294" i="42" s="1"/>
  <c r="K306" i="42"/>
  <c r="T306" i="42" s="1"/>
  <c r="Q312" i="42"/>
  <c r="Q318" i="42"/>
  <c r="Q321" i="42"/>
  <c r="Q324" i="42"/>
  <c r="K329" i="42"/>
  <c r="T329" i="42" s="1"/>
  <c r="Q359" i="42"/>
  <c r="Q368" i="42"/>
  <c r="Q370" i="42"/>
  <c r="S374" i="42"/>
  <c r="Q374" i="42"/>
  <c r="R378" i="42"/>
  <c r="R380" i="42"/>
  <c r="R382" i="42"/>
  <c r="M395" i="42"/>
  <c r="K395" i="42"/>
  <c r="T395" i="42" s="1"/>
  <c r="S405" i="42"/>
  <c r="Q405" i="42"/>
  <c r="R405" i="42" s="1"/>
  <c r="M416" i="42"/>
  <c r="K416" i="42"/>
  <c r="K281" i="42"/>
  <c r="S382" i="42"/>
  <c r="S388" i="42"/>
  <c r="Q388" i="42"/>
  <c r="O395" i="42"/>
  <c r="O416" i="42"/>
  <c r="O421" i="42"/>
  <c r="K421" i="42"/>
  <c r="R423" i="42"/>
  <c r="O426" i="42"/>
  <c r="K426" i="42"/>
  <c r="T426" i="42" s="1"/>
  <c r="O429" i="42"/>
  <c r="K429" i="42"/>
  <c r="O442" i="42"/>
  <c r="K442" i="42"/>
  <c r="T442" i="42" s="1"/>
  <c r="O446" i="42"/>
  <c r="K446" i="42"/>
  <c r="O450" i="42"/>
  <c r="K450" i="42"/>
  <c r="T450" i="42" s="1"/>
  <c r="Q453" i="42"/>
  <c r="M326" i="42"/>
  <c r="W326" i="42" s="1"/>
  <c r="K346" i="42"/>
  <c r="K354" i="42"/>
  <c r="T354" i="42" s="1"/>
  <c r="T386" i="42"/>
  <c r="R386" i="42"/>
  <c r="R397" i="42"/>
  <c r="R401" i="42"/>
  <c r="M421" i="42"/>
  <c r="S423" i="42"/>
  <c r="M426" i="42"/>
  <c r="M429" i="42"/>
  <c r="M442" i="42"/>
  <c r="W442" i="42" s="1"/>
  <c r="M446" i="42"/>
  <c r="W446" i="42" s="1"/>
  <c r="M450" i="42"/>
  <c r="W450" i="42" s="1"/>
  <c r="T463" i="42"/>
  <c r="M461" i="42"/>
  <c r="W461" i="42" s="1"/>
  <c r="K464" i="42"/>
  <c r="T464" i="42" s="1"/>
  <c r="Q468" i="42"/>
  <c r="M479" i="42"/>
  <c r="M464" i="42"/>
  <c r="W464" i="42" s="1"/>
  <c r="Q482" i="42"/>
  <c r="R482" i="42" s="1"/>
  <c r="Q487" i="42"/>
  <c r="K455" i="42"/>
  <c r="R456" i="42"/>
  <c r="Q461" i="42"/>
  <c r="R461" i="42" s="1"/>
  <c r="K473" i="42"/>
  <c r="R474" i="42"/>
  <c r="Q479" i="42"/>
  <c r="R479" i="42" s="1"/>
  <c r="K481" i="42"/>
  <c r="M455" i="42"/>
  <c r="K460" i="42"/>
  <c r="R460" i="42" s="1"/>
  <c r="M473" i="42"/>
  <c r="W473" i="42" s="1"/>
  <c r="M481" i="42"/>
  <c r="W487" i="42"/>
  <c r="Q455" i="42"/>
  <c r="M466" i="42"/>
  <c r="W466" i="42" s="1"/>
  <c r="K469" i="42"/>
  <c r="Q473" i="42"/>
  <c r="Q481" i="42"/>
  <c r="K483" i="42"/>
  <c r="O466" i="42"/>
  <c r="M469" i="42"/>
  <c r="W469" i="42" s="1"/>
  <c r="M483" i="42"/>
  <c r="Q463" i="42"/>
  <c r="M472" i="42"/>
  <c r="W472" i="42" s="1"/>
  <c r="Q478" i="42"/>
  <c r="K480" i="42"/>
  <c r="T480" i="42" s="1"/>
  <c r="M383" i="42"/>
  <c r="W383" i="42" s="1"/>
  <c r="M387" i="42"/>
  <c r="K465" i="42"/>
  <c r="T465" i="42" s="1"/>
  <c r="Q469" i="42"/>
  <c r="Q483" i="42"/>
  <c r="M406" i="42"/>
  <c r="W406" i="42" s="1"/>
  <c r="M417" i="42"/>
  <c r="M465" i="42"/>
  <c r="W465" i="42" s="1"/>
  <c r="T421" i="42" l="1"/>
  <c r="T246" i="42"/>
  <c r="T437" i="42"/>
  <c r="R331" i="42"/>
  <c r="M296" i="42"/>
  <c r="T224" i="42"/>
  <c r="T223" i="42"/>
  <c r="T323" i="42"/>
  <c r="T389" i="42"/>
  <c r="R182" i="42"/>
  <c r="R243" i="42"/>
  <c r="T304" i="42"/>
  <c r="R274" i="42"/>
  <c r="R283" i="42"/>
  <c r="R370" i="42"/>
  <c r="R127" i="42"/>
  <c r="T183" i="42"/>
  <c r="R180" i="42"/>
  <c r="R152" i="42"/>
  <c r="T433" i="42"/>
  <c r="R279" i="42"/>
  <c r="T111" i="42"/>
  <c r="T355" i="42"/>
  <c r="R419" i="42"/>
  <c r="T241" i="42"/>
  <c r="R291" i="42"/>
  <c r="R232" i="42"/>
  <c r="T238" i="42"/>
  <c r="T418" i="42"/>
  <c r="W489" i="42"/>
  <c r="M38" i="42"/>
  <c r="T174" i="42"/>
  <c r="T176" i="42" s="1"/>
  <c r="T23" i="42" s="1"/>
  <c r="R63" i="42"/>
  <c r="Q65" i="42"/>
  <c r="Q15" i="42" s="1"/>
  <c r="R116" i="42"/>
  <c r="R384" i="42"/>
  <c r="T353" i="42"/>
  <c r="R385" i="42"/>
  <c r="R409" i="42"/>
  <c r="R324" i="42"/>
  <c r="R403" i="42"/>
  <c r="T257" i="42"/>
  <c r="T252" i="42"/>
  <c r="R146" i="42"/>
  <c r="T413" i="42"/>
  <c r="R374" i="42"/>
  <c r="T425" i="42"/>
  <c r="R369" i="42"/>
  <c r="T82" i="42"/>
  <c r="R124" i="42"/>
  <c r="T272" i="42"/>
  <c r="T417" i="42"/>
  <c r="R318" i="42"/>
  <c r="T361" i="42"/>
  <c r="T226" i="42"/>
  <c r="T228" i="42"/>
  <c r="Q49" i="42"/>
  <c r="T422" i="42"/>
  <c r="R191" i="42"/>
  <c r="R452" i="42"/>
  <c r="T359" i="42"/>
  <c r="R472" i="42"/>
  <c r="T239" i="42"/>
  <c r="T135" i="42"/>
  <c r="R442" i="42"/>
  <c r="R234" i="42"/>
  <c r="T402" i="42"/>
  <c r="R415" i="42"/>
  <c r="R60" i="42"/>
  <c r="Q476" i="42"/>
  <c r="M485" i="42"/>
  <c r="M37" i="42" s="1"/>
  <c r="R376" i="42"/>
  <c r="T255" i="42"/>
  <c r="T210" i="42"/>
  <c r="T377" i="42"/>
  <c r="R227" i="42"/>
  <c r="K56" i="42"/>
  <c r="K14" i="42" s="1"/>
  <c r="R76" i="42"/>
  <c r="R387" i="42"/>
  <c r="O439" i="42"/>
  <c r="O34" i="42" s="1"/>
  <c r="R433" i="42"/>
  <c r="R322" i="42"/>
  <c r="R450" i="42"/>
  <c r="M309" i="42"/>
  <c r="T371" i="42"/>
  <c r="T117" i="42"/>
  <c r="T108" i="42"/>
  <c r="R101" i="42"/>
  <c r="T139" i="42"/>
  <c r="T181" i="42"/>
  <c r="R181" i="42"/>
  <c r="T366" i="42"/>
  <c r="R226" i="42"/>
  <c r="T267" i="42"/>
  <c r="R249" i="42"/>
  <c r="O411" i="42"/>
  <c r="O33" i="42" s="1"/>
  <c r="R447" i="42"/>
  <c r="R239" i="42"/>
  <c r="R337" i="42"/>
  <c r="R240" i="42"/>
  <c r="T211" i="42"/>
  <c r="R125" i="42"/>
  <c r="T261" i="42"/>
  <c r="T379" i="42"/>
  <c r="R311" i="42"/>
  <c r="T128" i="42"/>
  <c r="R383" i="42"/>
  <c r="T383" i="42"/>
  <c r="T96" i="42"/>
  <c r="R96" i="42"/>
  <c r="R46" i="42"/>
  <c r="R245" i="42"/>
  <c r="T245" i="42"/>
  <c r="O458" i="42"/>
  <c r="O35" i="42" s="1"/>
  <c r="R429" i="42"/>
  <c r="T365" i="42"/>
  <c r="R372" i="42"/>
  <c r="T367" i="42"/>
  <c r="R346" i="42"/>
  <c r="T80" i="42"/>
  <c r="T474" i="42"/>
  <c r="M411" i="42"/>
  <c r="M33" i="42" s="1"/>
  <c r="O264" i="42"/>
  <c r="O26" i="42" s="1"/>
  <c r="R437" i="42"/>
  <c r="T451" i="42"/>
  <c r="R292" i="42"/>
  <c r="T316" i="42"/>
  <c r="R202" i="42"/>
  <c r="T99" i="42"/>
  <c r="T189" i="42"/>
  <c r="R268" i="42"/>
  <c r="T443" i="42"/>
  <c r="T132" i="42"/>
  <c r="R463" i="42"/>
  <c r="T360" i="42"/>
  <c r="T473" i="42"/>
  <c r="T394" i="42"/>
  <c r="T482" i="42"/>
  <c r="T381" i="42"/>
  <c r="R285" i="42"/>
  <c r="O476" i="42"/>
  <c r="O36" i="42" s="1"/>
  <c r="K288" i="42"/>
  <c r="K28" i="42" s="1"/>
  <c r="R187" i="42"/>
  <c r="T81" i="42"/>
  <c r="T130" i="42"/>
  <c r="T362" i="42"/>
  <c r="R362" i="42"/>
  <c r="T325" i="42"/>
  <c r="T446" i="42"/>
  <c r="R368" i="42"/>
  <c r="T483" i="42"/>
  <c r="T416" i="42"/>
  <c r="T300" i="42"/>
  <c r="T406" i="42"/>
  <c r="Q439" i="42"/>
  <c r="T275" i="42"/>
  <c r="T301" i="42"/>
  <c r="T250" i="42"/>
  <c r="T227" i="42"/>
  <c r="T160" i="42"/>
  <c r="O339" i="42"/>
  <c r="T179" i="42"/>
  <c r="T149" i="42"/>
  <c r="R159" i="42"/>
  <c r="R70" i="42"/>
  <c r="R126" i="42"/>
  <c r="T54" i="42"/>
  <c r="T387" i="42"/>
  <c r="T334" i="42"/>
  <c r="T352" i="42"/>
  <c r="R352" i="42"/>
  <c r="R453" i="42"/>
  <c r="T455" i="42"/>
  <c r="T432" i="42"/>
  <c r="T396" i="42"/>
  <c r="T286" i="42"/>
  <c r="T167" i="42"/>
  <c r="T235" i="42"/>
  <c r="O195" i="42"/>
  <c r="O24" i="42" s="1"/>
  <c r="R209" i="42"/>
  <c r="R273" i="42"/>
  <c r="T106" i="42"/>
  <c r="M20" i="42"/>
  <c r="T407" i="42"/>
  <c r="R272" i="42"/>
  <c r="R392" i="42"/>
  <c r="T321" i="42"/>
  <c r="R204" i="42"/>
  <c r="T293" i="42"/>
  <c r="T140" i="42"/>
  <c r="T415" i="42"/>
  <c r="T147" i="42"/>
  <c r="R94" i="42"/>
  <c r="M439" i="42"/>
  <c r="W439" i="42" s="1"/>
  <c r="R389" i="42"/>
  <c r="T388" i="42"/>
  <c r="T428" i="42"/>
  <c r="T158" i="42"/>
  <c r="R59" i="42"/>
  <c r="T253" i="42"/>
  <c r="M176" i="42"/>
  <c r="W176" i="42" s="1"/>
  <c r="T52" i="42"/>
  <c r="T142" i="42"/>
  <c r="R87" i="42"/>
  <c r="R470" i="42"/>
  <c r="T313" i="42"/>
  <c r="R481" i="42"/>
  <c r="T333" i="42"/>
  <c r="T469" i="42"/>
  <c r="T479" i="42"/>
  <c r="R282" i="42"/>
  <c r="R270" i="42"/>
  <c r="R145" i="42"/>
  <c r="R129" i="42"/>
  <c r="R95" i="42"/>
  <c r="T61" i="42"/>
  <c r="R206" i="42"/>
  <c r="T336" i="42"/>
  <c r="T60" i="42"/>
  <c r="W309" i="42"/>
  <c r="M30" i="42"/>
  <c r="W411" i="42"/>
  <c r="W296" i="42"/>
  <c r="M29" i="42"/>
  <c r="O31" i="42"/>
  <c r="W485" i="42"/>
  <c r="W282" i="42"/>
  <c r="M288" i="42"/>
  <c r="R280" i="42"/>
  <c r="Q288" i="42"/>
  <c r="R212" i="42"/>
  <c r="T212" i="42"/>
  <c r="T331" i="42"/>
  <c r="K89" i="42"/>
  <c r="K18" i="42" s="1"/>
  <c r="R86" i="42"/>
  <c r="T86" i="42"/>
  <c r="T89" i="42" s="1"/>
  <c r="T18" i="42" s="1"/>
  <c r="T134" i="42"/>
  <c r="R91" i="42"/>
  <c r="Q103" i="42"/>
  <c r="T468" i="42"/>
  <c r="R468" i="42"/>
  <c r="R312" i="42"/>
  <c r="T242" i="42"/>
  <c r="R242" i="42"/>
  <c r="T368" i="42"/>
  <c r="T424" i="42"/>
  <c r="R424" i="42"/>
  <c r="R464" i="42"/>
  <c r="R344" i="42"/>
  <c r="T405" i="42"/>
  <c r="R298" i="42"/>
  <c r="Q309" i="42"/>
  <c r="K411" i="42"/>
  <c r="K33" i="42" s="1"/>
  <c r="R361" i="42"/>
  <c r="T348" i="42"/>
  <c r="Q339" i="42"/>
  <c r="T77" i="42"/>
  <c r="K84" i="42"/>
  <c r="K17" i="42" s="1"/>
  <c r="T161" i="42"/>
  <c r="Q18" i="42"/>
  <c r="K458" i="42"/>
  <c r="K35" i="42" s="1"/>
  <c r="Q230" i="42"/>
  <c r="T202" i="42"/>
  <c r="R236" i="42"/>
  <c r="R178" i="42"/>
  <c r="Q195" i="42"/>
  <c r="R110" i="42"/>
  <c r="K176" i="42"/>
  <c r="K23" i="42" s="1"/>
  <c r="R130" i="42"/>
  <c r="K169" i="42"/>
  <c r="R294" i="42"/>
  <c r="R123" i="42"/>
  <c r="Q169" i="42"/>
  <c r="R252" i="42"/>
  <c r="R210" i="42"/>
  <c r="R148" i="42"/>
  <c r="T148" i="42"/>
  <c r="T71" i="42"/>
  <c r="T127" i="42"/>
  <c r="T123" i="42"/>
  <c r="T460" i="42"/>
  <c r="K476" i="42"/>
  <c r="K36" i="42" s="1"/>
  <c r="T364" i="42"/>
  <c r="M277" i="42"/>
  <c r="W266" i="42"/>
  <c r="K339" i="42"/>
  <c r="T185" i="42"/>
  <c r="R185" i="42"/>
  <c r="Q411" i="42"/>
  <c r="T481" i="42"/>
  <c r="T346" i="42"/>
  <c r="R400" i="42"/>
  <c r="T322" i="42"/>
  <c r="T444" i="42"/>
  <c r="R444" i="42"/>
  <c r="T282" i="42"/>
  <c r="Q296" i="42"/>
  <c r="T298" i="42"/>
  <c r="K309" i="42"/>
  <c r="K30" i="42" s="1"/>
  <c r="R208" i="42"/>
  <c r="M264" i="42"/>
  <c r="Q277" i="42"/>
  <c r="T244" i="42"/>
  <c r="T234" i="42"/>
  <c r="R81" i="42"/>
  <c r="R132" i="42"/>
  <c r="R135" i="42"/>
  <c r="W59" i="42"/>
  <c r="M65" i="42"/>
  <c r="T351" i="42"/>
  <c r="R351" i="42"/>
  <c r="R140" i="42"/>
  <c r="R396" i="42"/>
  <c r="R275" i="42"/>
  <c r="O309" i="42"/>
  <c r="O30" i="42" s="1"/>
  <c r="K296" i="42"/>
  <c r="K29" i="42" s="1"/>
  <c r="T291" i="42"/>
  <c r="T296" i="42" s="1"/>
  <c r="T29" i="42" s="1"/>
  <c r="R314" i="42"/>
  <c r="T314" i="42"/>
  <c r="Q264" i="42"/>
  <c r="T198" i="42"/>
  <c r="R108" i="42"/>
  <c r="M84" i="42"/>
  <c r="W76" i="42"/>
  <c r="R246" i="42"/>
  <c r="R106" i="42"/>
  <c r="Q35" i="42"/>
  <c r="T454" i="42"/>
  <c r="R454" i="42"/>
  <c r="R478" i="42"/>
  <c r="Q485" i="42"/>
  <c r="T398" i="42"/>
  <c r="R398" i="42"/>
  <c r="T453" i="42"/>
  <c r="R394" i="42"/>
  <c r="T330" i="42"/>
  <c r="R480" i="42"/>
  <c r="R355" i="42"/>
  <c r="R325" i="42"/>
  <c r="R434" i="42"/>
  <c r="O277" i="42"/>
  <c r="O27" i="42" s="1"/>
  <c r="T274" i="42"/>
  <c r="T280" i="42"/>
  <c r="W165" i="42"/>
  <c r="M169" i="42"/>
  <c r="K74" i="42"/>
  <c r="K16" i="42" s="1"/>
  <c r="T67" i="42"/>
  <c r="R67" i="42"/>
  <c r="T214" i="42"/>
  <c r="T260" i="42"/>
  <c r="R238" i="42"/>
  <c r="R179" i="42"/>
  <c r="R98" i="42"/>
  <c r="T98" i="42"/>
  <c r="Q84" i="42"/>
  <c r="T129" i="42"/>
  <c r="T112" i="42"/>
  <c r="R99" i="42"/>
  <c r="T62" i="42"/>
  <c r="T448" i="42"/>
  <c r="R448" i="42"/>
  <c r="K439" i="42"/>
  <c r="K34" i="42" s="1"/>
  <c r="R465" i="42"/>
  <c r="T259" i="42"/>
  <c r="R151" i="42"/>
  <c r="T151" i="42"/>
  <c r="R262" i="42"/>
  <c r="R158" i="42"/>
  <c r="R174" i="42"/>
  <c r="Q176" i="42"/>
  <c r="T70" i="42"/>
  <c r="T217" i="42"/>
  <c r="T53" i="42"/>
  <c r="R53" i="42"/>
  <c r="T305" i="42"/>
  <c r="K195" i="42"/>
  <c r="K24" i="42" s="1"/>
  <c r="T178" i="42"/>
  <c r="W52" i="42"/>
  <c r="M56" i="42"/>
  <c r="T95" i="42"/>
  <c r="T131" i="42"/>
  <c r="R166" i="42"/>
  <c r="T166" i="42"/>
  <c r="T478" i="42"/>
  <c r="R426" i="42"/>
  <c r="T292" i="42"/>
  <c r="R258" i="42"/>
  <c r="T165" i="42"/>
  <c r="M74" i="42"/>
  <c r="W67" i="42"/>
  <c r="K49" i="42"/>
  <c r="K13" i="42" s="1"/>
  <c r="T45" i="42"/>
  <c r="T49" i="42" s="1"/>
  <c r="T13" i="42" s="1"/>
  <c r="R45" i="42"/>
  <c r="R302" i="42"/>
  <c r="T209" i="42"/>
  <c r="W178" i="42"/>
  <c r="M195" i="42"/>
  <c r="M89" i="42"/>
  <c r="W86" i="42"/>
  <c r="Q56" i="42"/>
  <c r="T124" i="42"/>
  <c r="T180" i="42"/>
  <c r="M230" i="42"/>
  <c r="W197" i="42"/>
  <c r="R388" i="42"/>
  <c r="T435" i="42"/>
  <c r="R435" i="42"/>
  <c r="R428" i="42"/>
  <c r="T392" i="42"/>
  <c r="R373" i="42"/>
  <c r="T373" i="42"/>
  <c r="R446" i="42"/>
  <c r="R255" i="42"/>
  <c r="T419" i="42"/>
  <c r="R379" i="42"/>
  <c r="T240" i="42"/>
  <c r="T162" i="42"/>
  <c r="T187" i="42"/>
  <c r="T221" i="42"/>
  <c r="R79" i="42"/>
  <c r="T79" i="42"/>
  <c r="T136" i="42"/>
  <c r="K121" i="42"/>
  <c r="K20" i="42" s="1"/>
  <c r="R213" i="42"/>
  <c r="R97" i="42"/>
  <c r="R443" i="42"/>
  <c r="T461" i="42"/>
  <c r="R451" i="42"/>
  <c r="T385" i="42"/>
  <c r="R381" i="42"/>
  <c r="R251" i="42"/>
  <c r="T251" i="42"/>
  <c r="K230" i="42"/>
  <c r="K25" i="42" s="1"/>
  <c r="T197" i="42"/>
  <c r="W49" i="42"/>
  <c r="M13" i="42"/>
  <c r="R192" i="42"/>
  <c r="T271" i="42"/>
  <c r="R153" i="42"/>
  <c r="R77" i="42"/>
  <c r="Q121" i="42"/>
  <c r="R105" i="42"/>
  <c r="T105" i="42"/>
  <c r="T201" i="42"/>
  <c r="R117" i="42"/>
  <c r="T193" i="42"/>
  <c r="R68" i="42"/>
  <c r="Q74" i="42"/>
  <c r="T59" i="42"/>
  <c r="K65" i="42"/>
  <c r="K15" i="42" s="1"/>
  <c r="R82" i="42"/>
  <c r="Q36" i="42"/>
  <c r="R118" i="42"/>
  <c r="T118" i="42"/>
  <c r="T121" i="42" s="1"/>
  <c r="T20" i="42" s="1"/>
  <c r="K264" i="42"/>
  <c r="K26" i="42" s="1"/>
  <c r="T408" i="42"/>
  <c r="R408" i="42"/>
  <c r="R306" i="42"/>
  <c r="R421" i="42"/>
  <c r="R473" i="42"/>
  <c r="T281" i="42"/>
  <c r="R483" i="42"/>
  <c r="R316" i="42"/>
  <c r="T399" i="42"/>
  <c r="R399" i="42"/>
  <c r="T374" i="42"/>
  <c r="R225" i="42"/>
  <c r="R222" i="42"/>
  <c r="T222" i="42"/>
  <c r="T190" i="42"/>
  <c r="T159" i="42"/>
  <c r="M23" i="42"/>
  <c r="R72" i="42"/>
  <c r="R216" i="42"/>
  <c r="T93" i="42"/>
  <c r="R52" i="42"/>
  <c r="T126" i="42"/>
  <c r="T101" i="42"/>
  <c r="R114" i="42"/>
  <c r="K485" i="42"/>
  <c r="K37" i="42" s="1"/>
  <c r="R425" i="42"/>
  <c r="T376" i="42"/>
  <c r="Q489" i="42"/>
  <c r="R487" i="42"/>
  <c r="R304" i="42"/>
  <c r="R416" i="42"/>
  <c r="T237" i="42"/>
  <c r="R237" i="42"/>
  <c r="W99" i="42"/>
  <c r="M103" i="42"/>
  <c r="M476" i="42"/>
  <c r="T357" i="42"/>
  <c r="M458" i="42"/>
  <c r="T447" i="42"/>
  <c r="R358" i="42"/>
  <c r="T369" i="42"/>
  <c r="R395" i="42"/>
  <c r="T243" i="42"/>
  <c r="R326" i="42"/>
  <c r="T326" i="42"/>
  <c r="R345" i="42"/>
  <c r="R139" i="42"/>
  <c r="T328" i="42"/>
  <c r="R224" i="42"/>
  <c r="R149" i="42"/>
  <c r="T318" i="42"/>
  <c r="R142" i="42"/>
  <c r="T63" i="42"/>
  <c r="T133" i="42"/>
  <c r="R157" i="42"/>
  <c r="T157" i="42"/>
  <c r="R200" i="42"/>
  <c r="T69" i="42"/>
  <c r="R167" i="42"/>
  <c r="T143" i="42"/>
  <c r="T137" i="42"/>
  <c r="K277" i="42"/>
  <c r="K27" i="42" s="1"/>
  <c r="T266" i="42"/>
  <c r="R371" i="42"/>
  <c r="R359" i="42"/>
  <c r="R469" i="42"/>
  <c r="R455" i="42"/>
  <c r="T429" i="42"/>
  <c r="R321" i="42"/>
  <c r="R390" i="42"/>
  <c r="T370" i="42"/>
  <c r="T452" i="42"/>
  <c r="R432" i="42"/>
  <c r="T324" i="42"/>
  <c r="R286" i="42"/>
  <c r="R350" i="42"/>
  <c r="M339" i="42"/>
  <c r="R354" i="42"/>
  <c r="R315" i="42"/>
  <c r="T207" i="42"/>
  <c r="R207" i="42"/>
  <c r="R160" i="42"/>
  <c r="T204" i="42"/>
  <c r="T256" i="42"/>
  <c r="R329" i="42"/>
  <c r="T116" i="42"/>
  <c r="T186" i="42"/>
  <c r="R300" i="42"/>
  <c r="T144" i="42"/>
  <c r="T163" i="42"/>
  <c r="R163" i="42"/>
  <c r="Q13" i="42"/>
  <c r="K103" i="42"/>
  <c r="K19" i="42" s="1"/>
  <c r="T91" i="42"/>
  <c r="T141" i="42"/>
  <c r="O32" i="42" l="1"/>
  <c r="R439" i="42"/>
  <c r="O22" i="42"/>
  <c r="T56" i="42"/>
  <c r="T14" i="42" s="1"/>
  <c r="T65" i="42"/>
  <c r="T15" i="42" s="1"/>
  <c r="R49" i="42"/>
  <c r="M34" i="42"/>
  <c r="T230" i="42"/>
  <c r="T25" i="42" s="1"/>
  <c r="T411" i="42"/>
  <c r="T33" i="42" s="1"/>
  <c r="T32" i="42" s="1"/>
  <c r="T485" i="42"/>
  <c r="T37" i="42" s="1"/>
  <c r="T339" i="42"/>
  <c r="T31" i="42" s="1"/>
  <c r="T439" i="42"/>
  <c r="T34" i="42" s="1"/>
  <c r="Q34" i="42"/>
  <c r="R34" i="42" s="1"/>
  <c r="T264" i="42"/>
  <c r="T26" i="42" s="1"/>
  <c r="T288" i="42"/>
  <c r="T28" i="42" s="1"/>
  <c r="R35" i="42"/>
  <c r="T476" i="42"/>
  <c r="T36" i="42" s="1"/>
  <c r="R458" i="42"/>
  <c r="T458" i="42"/>
  <c r="T35" i="42" s="1"/>
  <c r="T169" i="42"/>
  <c r="T21" i="42" s="1"/>
  <c r="M16" i="42"/>
  <c r="W74" i="42"/>
  <c r="W458" i="42"/>
  <c r="M35" i="42"/>
  <c r="R195" i="42"/>
  <c r="Q24" i="42"/>
  <c r="R24" i="42" s="1"/>
  <c r="Q19" i="42"/>
  <c r="R19" i="42" s="1"/>
  <c r="R103" i="42"/>
  <c r="O103" i="42"/>
  <c r="O19" i="42" s="1"/>
  <c r="K22" i="42"/>
  <c r="K32" i="42"/>
  <c r="T84" i="42"/>
  <c r="T17" i="42" s="1"/>
  <c r="W103" i="42"/>
  <c r="M19" i="42"/>
  <c r="M18" i="42"/>
  <c r="W89" i="42"/>
  <c r="W84" i="42"/>
  <c r="M17" i="42"/>
  <c r="R309" i="42"/>
  <c r="Q30" i="42"/>
  <c r="R30" i="42" s="1"/>
  <c r="W230" i="42"/>
  <c r="M25" i="42"/>
  <c r="W476" i="42"/>
  <c r="M36" i="42"/>
  <c r="M32" i="42" s="1"/>
  <c r="T277" i="42"/>
  <c r="T27" i="42" s="1"/>
  <c r="W195" i="42"/>
  <c r="M24" i="42"/>
  <c r="R230" i="42"/>
  <c r="Q25" i="42"/>
  <c r="R25" i="42" s="1"/>
  <c r="O340" i="42"/>
  <c r="T103" i="42"/>
  <c r="T19" i="42" s="1"/>
  <c r="M340" i="42"/>
  <c r="W340" i="42" s="1"/>
  <c r="W339" i="42"/>
  <c r="M31" i="42"/>
  <c r="R264" i="42"/>
  <c r="Q26" i="42"/>
  <c r="R26" i="42" s="1"/>
  <c r="R411" i="42"/>
  <c r="Q33" i="42"/>
  <c r="O89" i="42"/>
  <c r="O18" i="42" s="1"/>
  <c r="T309" i="42"/>
  <c r="T30" i="42" s="1"/>
  <c r="R74" i="42"/>
  <c r="Q16" i="42"/>
  <c r="R16" i="42" s="1"/>
  <c r="O74" i="42"/>
  <c r="O16" i="42" s="1"/>
  <c r="R296" i="42"/>
  <c r="Q29" i="42"/>
  <c r="R29" i="42" s="1"/>
  <c r="R176" i="42"/>
  <c r="Q23" i="42"/>
  <c r="W65" i="42"/>
  <c r="M15" i="42"/>
  <c r="Q20" i="42"/>
  <c r="R20" i="42" s="1"/>
  <c r="R121" i="42"/>
  <c r="O121" i="42"/>
  <c r="O20" i="42" s="1"/>
  <c r="R18" i="42"/>
  <c r="R339" i="42"/>
  <c r="Q340" i="42"/>
  <c r="Q31" i="42"/>
  <c r="R13" i="42"/>
  <c r="Q12" i="42"/>
  <c r="R489" i="42"/>
  <c r="Q38" i="42"/>
  <c r="R38" i="42" s="1"/>
  <c r="M14" i="42"/>
  <c r="W56" i="42"/>
  <c r="T74" i="42"/>
  <c r="T16" i="42" s="1"/>
  <c r="R169" i="42"/>
  <c r="O169" i="42"/>
  <c r="Q170" i="42"/>
  <c r="Q21" i="42"/>
  <c r="R89" i="42"/>
  <c r="R84" i="42"/>
  <c r="Q17" i="42"/>
  <c r="R17" i="42" s="1"/>
  <c r="O84" i="42"/>
  <c r="O17" i="42" s="1"/>
  <c r="R36" i="42"/>
  <c r="R277" i="42"/>
  <c r="Q27" i="42"/>
  <c r="R27" i="42" s="1"/>
  <c r="R476" i="42"/>
  <c r="T195" i="42"/>
  <c r="T24" i="42" s="1"/>
  <c r="M170" i="42"/>
  <c r="W170" i="42" s="1"/>
  <c r="W169" i="42"/>
  <c r="M21" i="42"/>
  <c r="W264" i="42"/>
  <c r="M26" i="42"/>
  <c r="O65" i="42"/>
  <c r="O15" i="42" s="1"/>
  <c r="R56" i="42"/>
  <c r="O56" i="42"/>
  <c r="O14" i="42" s="1"/>
  <c r="Q14" i="42"/>
  <c r="R14" i="42" s="1"/>
  <c r="R485" i="42"/>
  <c r="Q37" i="42"/>
  <c r="R37" i="42" s="1"/>
  <c r="K340" i="42"/>
  <c r="K31" i="42"/>
  <c r="R15" i="42"/>
  <c r="R288" i="42"/>
  <c r="Q28" i="42"/>
  <c r="R28" i="42" s="1"/>
  <c r="W277" i="42"/>
  <c r="M27" i="42"/>
  <c r="K170" i="42"/>
  <c r="K21" i="42"/>
  <c r="K12" i="42" s="1"/>
  <c r="R65" i="42"/>
  <c r="W288" i="42"/>
  <c r="M28" i="42"/>
  <c r="M12" i="42" l="1"/>
  <c r="T22" i="42"/>
  <c r="M22" i="42"/>
  <c r="T12" i="42"/>
  <c r="R340" i="42"/>
  <c r="R31" i="42"/>
  <c r="R21" i="42"/>
  <c r="M39" i="42"/>
  <c r="M41" i="42" s="1"/>
  <c r="E20" i="1" s="1"/>
  <c r="E23" i="1" s="1"/>
  <c r="T41" i="42"/>
  <c r="K39" i="42"/>
  <c r="K41" i="42" s="1"/>
  <c r="R12" i="42"/>
  <c r="R170" i="42"/>
  <c r="Q22" i="42"/>
  <c r="R22" i="42" s="1"/>
  <c r="R23" i="42"/>
  <c r="O170" i="42"/>
  <c r="O21" i="42"/>
  <c r="O12" i="42" s="1"/>
  <c r="R33" i="42"/>
  <c r="Q32" i="42"/>
  <c r="R32" i="42" s="1"/>
  <c r="T170" i="42"/>
  <c r="T340" i="42"/>
  <c r="O39" i="42" l="1"/>
  <c r="O41" i="42" s="1"/>
  <c r="H13" i="1"/>
  <c r="F16" i="41"/>
  <c r="F20" i="41" s="1"/>
  <c r="Q39" i="42"/>
  <c r="Q41" i="42" s="1"/>
  <c r="G20" i="1" l="1"/>
  <c r="U41" i="42"/>
  <c r="C25" i="1" s="1"/>
  <c r="E25" i="1" s="1"/>
  <c r="E31" i="1" s="1"/>
  <c r="E34" i="1" s="1"/>
  <c r="F35" i="41" s="1"/>
  <c r="G23" i="1" l="1"/>
  <c r="F20" i="1"/>
  <c r="J20" i="1"/>
  <c r="B36" i="1"/>
  <c r="F22" i="41" l="1"/>
  <c r="G25" i="1"/>
  <c r="G31" i="1" s="1"/>
  <c r="F23" i="1"/>
  <c r="G34" i="1" l="1"/>
  <c r="F34" i="1" s="1"/>
  <c r="F31" i="1"/>
  <c r="E26" i="41"/>
  <c r="F30" i="41" s="1"/>
  <c r="F32" i="41" s="1"/>
  <c r="F25" i="1"/>
  <c r="E41" i="41" l="1"/>
  <c r="F38" i="41"/>
  <c r="M39"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I6" authorId="0" shapeId="0" xr:uid="{00000000-0006-0000-0000-000001000000}">
      <text>
        <r>
          <rPr>
            <sz val="11"/>
            <rFont val="돋움"/>
          </rPr>
          <t>결재순서
담당 &gt; 담당팀장 &gt; 공무팀장 &gt; 관리팀장 &gt; 현장소장</t>
        </r>
      </text>
    </comment>
    <comment ref="C10" authorId="0" shapeId="0" xr:uid="{00000000-0006-0000-0000-000002000000}">
      <text>
        <r>
          <rPr>
            <sz val="11"/>
            <rFont val="돋움"/>
          </rPr>
          <t>매달 25일 고정(수정)</t>
        </r>
      </text>
    </comment>
    <comment ref="F10" authorId="0" shapeId="0" xr:uid="{00000000-0006-0000-0000-000003000000}">
      <text>
        <r>
          <rPr>
            <sz val="11"/>
            <rFont val="돋움"/>
          </rPr>
          <t>맨 뒤에 숫자만 강제 수정(기성청구 회차)
1회차 &gt; 1
3회차 &gt; 3</t>
        </r>
      </text>
    </comment>
    <comment ref="J10" authorId="0" shapeId="0" xr:uid="{00000000-0006-0000-0000-000004000000}">
      <text>
        <r>
          <rPr>
            <sz val="11"/>
            <rFont val="돋움"/>
          </rPr>
          <t>고정임(익월 말)</t>
        </r>
      </text>
    </comment>
  </commentList>
</comments>
</file>

<file path=xl/sharedStrings.xml><?xml version="1.0" encoding="utf-8"?>
<sst xmlns="http://schemas.openxmlformats.org/spreadsheetml/2006/main" count="1320" uniqueCount="646">
  <si>
    <t xml:space="preserve">              Subcontract Payment Request</t>
  </si>
  <si>
    <t>SIGN</t>
  </si>
  <si>
    <t>IN CHARGE</t>
  </si>
  <si>
    <t>CONS DEPT.</t>
  </si>
  <si>
    <t>PLN DEPT.</t>
  </si>
  <si>
    <t>P.M</t>
  </si>
  <si>
    <t xml:space="preserve">  /       /    </t>
  </si>
  <si>
    <t>INVOICE DATE</t>
  </si>
  <si>
    <t>INVOICE NO</t>
  </si>
  <si>
    <t>DUE DATE</t>
  </si>
  <si>
    <t>ADMIN DEPT.</t>
  </si>
  <si>
    <t xml:space="preserve"> PROJECT                  </t>
  </si>
  <si>
    <t>HL-GA Battery Project</t>
  </si>
  <si>
    <t>CONTRACT NUMBER</t>
  </si>
  <si>
    <t xml:space="preserve"> SUBCONTRACTOR</t>
  </si>
  <si>
    <t>Nahshon MEP</t>
  </si>
  <si>
    <t xml:space="preserve"> CONTRACT PRICE </t>
  </si>
  <si>
    <t xml:space="preserve"> SCOPE OF WORKS </t>
  </si>
  <si>
    <t>Additional Finish Works PKG-7</t>
  </si>
  <si>
    <t xml:space="preserve"> P/BOND AMT/EXPIRY</t>
  </si>
  <si>
    <t>FNC DEPT.</t>
  </si>
  <si>
    <t xml:space="preserve"> CONTRACT PERIOD</t>
  </si>
  <si>
    <t>2026.08 ~ 2026.11</t>
  </si>
  <si>
    <t>CONTRACT DATE</t>
  </si>
  <si>
    <t xml:space="preserve"> AP-BOND AMT/EXPIRY</t>
  </si>
  <si>
    <t xml:space="preserve"> INSURANCE</t>
  </si>
  <si>
    <t xml:space="preserve"> W-BOND AMT/EXPIRY</t>
  </si>
  <si>
    <t>( Currency : USD )</t>
  </si>
  <si>
    <t>DESCRIPTION</t>
  </si>
  <si>
    <t>UP TO
PREVIOUS BILL</t>
  </si>
  <si>
    <t>THIS BILL</t>
  </si>
  <si>
    <t>UP TO 
THIS BILL</t>
  </si>
  <si>
    <t>REMARKS</t>
  </si>
  <si>
    <t>PAYMENT RECEIVED IN ADVANCE</t>
  </si>
  <si>
    <t>①</t>
  </si>
  <si>
    <t>WORKS DONE</t>
  </si>
  <si>
    <t>WORK DONE</t>
  </si>
  <si>
    <t>V/O, C/O</t>
  </si>
  <si>
    <t>OTHERS</t>
  </si>
  <si>
    <t>GROSS AMOUNT</t>
  </si>
  <si>
    <t>②</t>
  </si>
  <si>
    <t>ADV. REPAYMENT</t>
  </si>
  <si>
    <t>③</t>
  </si>
  <si>
    <t>RETENTION</t>
  </si>
  <si>
    <t>④</t>
  </si>
  <si>
    <t>CONTRA CHARGES</t>
  </si>
  <si>
    <t>MATERIALS</t>
  </si>
  <si>
    <t>LABOUR CHG</t>
  </si>
  <si>
    <t>EQUIPMENT</t>
  </si>
  <si>
    <t>SUB-TOTAL</t>
  </si>
  <si>
    <t>⑤</t>
  </si>
  <si>
    <t>NET AMOUNT</t>
  </si>
  <si>
    <t>⑥=①+②-③-④-⑤</t>
  </si>
  <si>
    <t>TAXES</t>
  </si>
  <si>
    <t>⑦</t>
  </si>
  <si>
    <t>WITHHOLDING (less)</t>
  </si>
  <si>
    <t>⑧</t>
  </si>
  <si>
    <t>NET RECEIPT</t>
  </si>
  <si>
    <t>⑨=⑥+⑦-⑧</t>
  </si>
  <si>
    <t>ADDITIONAL INPUTS (not printed on payment request)</t>
  </si>
  <si>
    <t>Application no.</t>
  </si>
  <si>
    <t>Period to</t>
  </si>
  <si>
    <t>Contractor address</t>
  </si>
  <si>
    <t>CCI job no.</t>
  </si>
  <si>
    <t>Previous retainage</t>
  </si>
  <si>
    <t>Previous retainage: leave blank to calculate from the current retainage rate; enter the approved prior amount to override.</t>
  </si>
  <si>
    <t>Progress %: enter previous cumulative in sheet 3 Q2, current cumulative in S2. Retainage %: C25 above.</t>
  </si>
  <si>
    <t>APPLICATION AND CERTIFICATE FOR PAYMENT</t>
  </si>
  <si>
    <t>TO GC</t>
  </si>
  <si>
    <t>PROJECT:</t>
  </si>
  <si>
    <t>APPLICATION #:</t>
  </si>
  <si>
    <t>PERIOD TO:</t>
  </si>
  <si>
    <t>CCI JOB #:</t>
  </si>
  <si>
    <t>CONTRACT NO:</t>
  </si>
  <si>
    <t>APPLICATION DATE:</t>
  </si>
  <si>
    <t>FROM CONTRACTOR:</t>
  </si>
  <si>
    <t>INVOICE #:</t>
  </si>
  <si>
    <t>CONTRACTOR'S APPLICATION FOR PAYMENT</t>
  </si>
  <si>
    <t xml:space="preserve">The undersigned Contractor certifies that to the best of the Contractor's knowledge, </t>
  </si>
  <si>
    <t>Application is made for payment, as shown below, in connection with the Contract.</t>
  </si>
  <si>
    <t xml:space="preserve">information and belief the Work covered by this Application for Payment has been </t>
  </si>
  <si>
    <t xml:space="preserve">completed in accordance with the Contract Documents, that all amounts have been </t>
  </si>
  <si>
    <t>ORIGINAL CONTRACT SUM............................</t>
  </si>
  <si>
    <t xml:space="preserve">paid by the Contractor for Work for which previous Certificates for Payment were issued </t>
  </si>
  <si>
    <t>and payments received from the Owner, and that current payment shown herein is now due.</t>
  </si>
  <si>
    <t>NET CHANGE BY CHANGE ORDERS.............</t>
  </si>
  <si>
    <t>Contractor:</t>
  </si>
  <si>
    <t>CONTRACT SUM TO DATE (LINE 1 &amp; 2).........</t>
  </si>
  <si>
    <t>By:</t>
  </si>
  <si>
    <t xml:space="preserve">Date:  </t>
  </si>
  <si>
    <t>TOTAL COMPLETED &amp; STORED TO DATE....</t>
  </si>
  <si>
    <t>General Manager</t>
  </si>
  <si>
    <t xml:space="preserve">State of:  </t>
  </si>
  <si>
    <t>RETAINAGE:</t>
  </si>
  <si>
    <t xml:space="preserve">County of:  </t>
  </si>
  <si>
    <t>Subscribed and sworn to before</t>
  </si>
  <si>
    <t>RETAINAGE ON COMPLETED WORK</t>
  </si>
  <si>
    <r>
      <rPr>
        <sz val="10"/>
        <color rgb="FF000000"/>
        <rFont val="돋움"/>
        <family val="3"/>
      </rPr>
      <t xml:space="preserve">me this   </t>
    </r>
    <r>
      <rPr>
        <sz val="10"/>
        <color rgb="FF000000"/>
        <rFont val="돋움"/>
        <family val="3"/>
      </rPr>
      <t xml:space="preserve"> </t>
    </r>
    <r>
      <rPr>
        <sz val="10"/>
        <color rgb="FF000000"/>
        <rFont val="Arial"/>
        <family val="2"/>
      </rPr>
      <t xml:space="preserve">   day of    </t>
    </r>
  </si>
  <si>
    <t>OTHER NET DEDUCTIONS / ADDITIONS</t>
  </si>
  <si>
    <t>Notary Public:</t>
  </si>
  <si>
    <t>My Commission expires:</t>
  </si>
  <si>
    <t>TOTAL NET DEDUCTIONS</t>
  </si>
  <si>
    <t>TOTAL EARNED LESS NET DEDUCTIONS</t>
  </si>
  <si>
    <t>CERTIFICATE FOR PAYMENT</t>
  </si>
  <si>
    <t>(LINE 4 LESS LINE 5 TOTAL)</t>
  </si>
  <si>
    <t xml:space="preserve">In accordance with the Contract Documents, based on on-site observations and the data comprising </t>
  </si>
  <si>
    <t>LESS PREVIOUS APPLICATIONS FOR PAYMENT</t>
  </si>
  <si>
    <t>this application, the General Contractor certifies to the Owner that to the best of its knowledge,</t>
  </si>
  <si>
    <t>(LINE 6 FROM PRIOR CERTIFICATE)</t>
  </si>
  <si>
    <t>information and belief the work has progressed as indicated, the quality of the work is in accordance</t>
  </si>
  <si>
    <t>with the Contract Documents, and the Contractor is entitled to payment of the AMOUNT CERTIFIED.</t>
  </si>
  <si>
    <t>CURRENT PAYMENT DUE.........................................</t>
  </si>
  <si>
    <t>AMOUNT CERTIFIED...................................................................................................</t>
  </si>
  <si>
    <t>BALANCE TO FINISH, INCLUDING RETAINAGE</t>
  </si>
  <si>
    <t>(Attached explanation if amount certified differs from the amount applied for.  Initial all  figures on this</t>
  </si>
  <si>
    <t>(LINE 3 LESS LINE 6)</t>
  </si>
  <si>
    <t>Application and on the continuation sheet that are changed to conform to the amount certified.)</t>
  </si>
  <si>
    <t>GENERAL CONTRACTOR</t>
  </si>
  <si>
    <t>Date:</t>
  </si>
  <si>
    <t>This certificate is not negotiable.  The AMOUNT CERTIFIED is payable only to the Contractor named</t>
  </si>
  <si>
    <t>herein.  Issuance, payment and acceptance of payment are without prejudice to any rights of the Owner</t>
  </si>
  <si>
    <t>of Contractor under this Contract.</t>
  </si>
  <si>
    <t>CONTINUATION SHEET</t>
  </si>
  <si>
    <t>APPLICATION NO:</t>
  </si>
  <si>
    <t>APPLICATION AND CERTIFICATE FOR PAYMENT,</t>
  </si>
  <si>
    <t>APPLICATION DATE:</t>
  </si>
  <si>
    <t>Containing Contractor's signed Certification, is attached.</t>
  </si>
  <si>
    <t>PERIOD TO:</t>
  </si>
  <si>
    <t>09/01/26 ~ 09/30/26 (Forecast)</t>
  </si>
  <si>
    <t>In tabulations below, amounts are stated to the nearest dollar..</t>
  </si>
  <si>
    <t>Use column I on Contracts where variable retainage for line items may apply.</t>
  </si>
  <si>
    <t>A</t>
  </si>
  <si>
    <t>B</t>
  </si>
  <si>
    <t>C</t>
  </si>
  <si>
    <t>D</t>
  </si>
  <si>
    <t>E</t>
  </si>
  <si>
    <t>F</t>
  </si>
  <si>
    <t>G</t>
  </si>
  <si>
    <t>H</t>
  </si>
  <si>
    <t>ITEM 
NO.</t>
  </si>
  <si>
    <t>DESCRIPTION OF WORK</t>
  </si>
  <si>
    <t>Specification</t>
  </si>
  <si>
    <t>Unit</t>
  </si>
  <si>
    <r>
      <rPr>
        <sz val="9"/>
        <rFont val="Arial"/>
        <family val="2"/>
      </rPr>
      <t>CONTRACT VALUE (</t>
    </r>
    <r>
      <rPr>
        <sz val="9"/>
        <rFont val="Noto Sans"/>
        <family val="2"/>
      </rPr>
      <t>계약</t>
    </r>
    <r>
      <rPr>
        <sz val="9"/>
        <rFont val="Arial"/>
        <family val="2"/>
        <charset val="1"/>
      </rPr>
      <t>)</t>
    </r>
  </si>
  <si>
    <t xml:space="preserve">                 WORK COMPLETED</t>
  </si>
  <si>
    <t>UP TO THIS BILL</t>
  </si>
  <si>
    <t>%</t>
  </si>
  <si>
    <t>BALANCE TO</t>
  </si>
  <si>
    <t>RETAINAGE</t>
  </si>
  <si>
    <t>PREVIOUS</t>
  </si>
  <si>
    <t>THIS PERIOD</t>
  </si>
  <si>
    <t>Quantity</t>
  </si>
  <si>
    <t>Material</t>
  </si>
  <si>
    <t>Labor</t>
  </si>
  <si>
    <t>Expense</t>
  </si>
  <si>
    <t>Unit Price</t>
  </si>
  <si>
    <t>Amount</t>
  </si>
  <si>
    <t>건축공사</t>
  </si>
  <si>
    <t>L/S</t>
  </si>
  <si>
    <t>설비공사</t>
  </si>
  <si>
    <t>74</t>
  </si>
  <si>
    <t>전기공사</t>
  </si>
  <si>
    <t>Round Off</t>
  </si>
  <si>
    <t>TOTAL</t>
  </si>
  <si>
    <t>1) TEMPORARY</t>
  </si>
  <si>
    <t>Demolition of Fence</t>
  </si>
  <si>
    <t>LF</t>
  </si>
  <si>
    <t>WIRE MESHED FENCE (Permanent Fence)</t>
  </si>
  <si>
    <t>H:8', Incl. Footing Included, Color : RAL 9010, 6 Gauge</t>
  </si>
  <si>
    <t>Temporary Fence - Fixed Type</t>
  </si>
  <si>
    <t>H=8', Galvanized Chain link fence, Including Entrance door</t>
  </si>
  <si>
    <t>[ Sub Total ]</t>
  </si>
  <si>
    <t>2) DOOR, WINDOW</t>
  </si>
  <si>
    <t>SINGLE STEEL DOOR</t>
  </si>
  <si>
    <t>Supply and install, hollow metal frame and door, including hardware set with glass,  Size: 3' X 7'</t>
  </si>
  <si>
    <t>EA</t>
  </si>
  <si>
    <t>DOUBLE STEEL DOOR</t>
  </si>
  <si>
    <t>Supply and install, hollow metal frame and door, including hardware set with glass,  Size: 6' X 7'</t>
  </si>
  <si>
    <t>SINGLE SWINGING DOOR</t>
  </si>
  <si>
    <t>Supply and install frame and door, including hardware set with 16" x 16" and and 1/4" glass,  Size: 3' X 7'</t>
  </si>
  <si>
    <t>DOUBLE SWINGING DOOR</t>
  </si>
  <si>
    <t>Supply and install frame and door, including hardware set with 16" x 16" and and 1/4" glass,  Size: 6' X 7'</t>
  </si>
  <si>
    <t>3) DRYWALL</t>
  </si>
  <si>
    <t>Dry Wall(Water resistant) one side</t>
  </si>
  <si>
    <t>1 layer Water-resistant Gypsum board + 6" C-stud O.C 16" with bridge channel + insulation</t>
  </si>
  <si>
    <t>LF2</t>
  </si>
  <si>
    <t>Dry Wall(Water resistant) both side</t>
  </si>
  <si>
    <t>1 layer Water-resistant Gypsum board + 6" C-stud O.C 16" with bridge channel + insulation + 1 layer Water-resistant Gypsum board</t>
  </si>
  <si>
    <t>Dry Wall one side</t>
  </si>
  <si>
    <t>1 layer Gypsum board + 6" C-stud O.C 16" with bridge channel + insulation</t>
  </si>
  <si>
    <t>Dry Wall both side</t>
  </si>
  <si>
    <t>1 layer Gypsum board + 6" C-stud O.C 16" with bridge channel + insulation + 1 layer Gypsum board</t>
  </si>
  <si>
    <t>PENETRATION SEAL</t>
  </si>
  <si>
    <t>Seal the wall penetrations within the ceiling using fire-rated sealant or general sealant to make air-tight and sound-tight</t>
  </si>
  <si>
    <t>REINFORCEMENT FOR DRY WALL</t>
  </si>
  <si>
    <t>Reinforcement of structure for Dry wall around the opening caused by mechanical, eletrical, other works</t>
  </si>
  <si>
    <t>4) WALL FINISH</t>
  </si>
  <si>
    <t>Water Paint</t>
  </si>
  <si>
    <t>Primer(1 coat) + Top Coat(2 Coats), Joint and surface treatment included. Color : RAL 9010/9006 and Varied</t>
  </si>
  <si>
    <t>Stainless Steel Wall</t>
  </si>
  <si>
    <t>THK : 3/8", Grade 316, Epoxy adhesive, edge/corner treatment(rounded),mirror finish,joint welding included</t>
  </si>
  <si>
    <t>Polyurethane Liquid Membrane Waterproofing(Kitchen)</t>
  </si>
  <si>
    <t>Wall, Include Surface treatment and chamfer/patch up. Apply floors and walls Ponding test(min 24 hrs) required</t>
  </si>
  <si>
    <t>Stainless Steel Base</t>
  </si>
  <si>
    <t>Supply an install 4" high Stainless steel plate base on walls</t>
  </si>
  <si>
    <t>FRP Panel</t>
  </si>
  <si>
    <t>Fiber Reinforced Plastic Panel</t>
  </si>
  <si>
    <t>PVC Panel</t>
  </si>
  <si>
    <t>Moisture resistance</t>
  </si>
  <si>
    <t>5) FLOOR FINISH</t>
  </si>
  <si>
    <t>Concrete Demolition of less than 2CY at once</t>
  </si>
  <si>
    <t>Perimeter wall,Reinforcement bar cutting and cutting surfrace treatement and rubbish disposal included</t>
  </si>
  <si>
    <t>YD3</t>
  </si>
  <si>
    <t>Floor concrete</t>
  </si>
  <si>
    <t>2500 psi, premixed concrete, Supplying material, Pouring and vibrating, Leveling, including formwork and all submaterials. Machine trowel &amp; manual steel trowel where machine cannot enter, w/ chamfered edge at pads &amp; exposed structures, including all necessary works and submaterials.</t>
  </si>
  <si>
    <t>Reinforcement Bars</t>
  </si>
  <si>
    <t xml:space="preserve">#3, #4, #5, #6, #7, #8, #9. etc. </t>
  </si>
  <si>
    <t>TON</t>
  </si>
  <si>
    <t>Ucrete Polyurethane Coating</t>
  </si>
  <si>
    <t>Include cocnrete floor grinding and all requirements recommended by the manufacturer. Color will be applied. BASF UCRETE DP or equivalent</t>
  </si>
  <si>
    <t>Floor surface preparation and protection work</t>
  </si>
  <si>
    <t>Epoxy Coating</t>
  </si>
  <si>
    <t>Primer + Epoxy Coating</t>
  </si>
  <si>
    <t>Vinyl Composite Tile</t>
  </si>
  <si>
    <t>Supply and install Armstrong Premium Excelon Raffia Stream or equivalent. Include adhesive and misc. materials. Surface treatment included. Material grade shall be Luxury Vinyl Tile. 2 times floor waxing included.</t>
  </si>
  <si>
    <t>6) CEILING FINISH</t>
  </si>
  <si>
    <t>Acoustic Ceiling Tile</t>
  </si>
  <si>
    <t>Supply and install 2'X2' USG-HALCYON or equivalent. Ceiling panels for Narrow Grid, include thred bolt supported and t-bar grid system including required accessories and misc. materials</t>
  </si>
  <si>
    <t>SMC Ceiling Tile</t>
  </si>
  <si>
    <t>Supply and install SMC ceiling including all steel structure support and clip-bar,channels and hangers and all accessories required for installation.</t>
  </si>
  <si>
    <t>7) MISCELLANEOUS</t>
  </si>
  <si>
    <t>Bollard Demolition</t>
  </si>
  <si>
    <t>Grease Trap(Grease Interceptor)</t>
  </si>
  <si>
    <t>Capacity : 1,500 GL, Include all electric cable&amp;conduit wiring,clean-out drain,connection between the sample well and clean-out drain. Main DB panel and Service alert panel connection, all concrete structures and elements composing of Grease interceptor system. all civi works(excavation,GAB grading and compaction, Lean concrete), referring to Dwg 410-A-901</t>
  </si>
  <si>
    <t>SET</t>
  </si>
  <si>
    <t>Reinforcement (Roof Opening)</t>
  </si>
  <si>
    <t>Refer to Section &amp; Details for site modification work for reinforcement. Modification of Existing Steel Structure Member to enable New Strucutures such as Girth, Truss, Angle and Etc. to be able to be instllaed and connected without obstuction.
- Cutting off any obsturcting structure and materials
- Re-Instatement of cutted off materials and structure
 - Welding &amp; Touch Up Paint also Included
- All Accessories necessary required also Included
- Erection by using of Crane &amp; Boom lift included</t>
  </si>
  <si>
    <t>Remove Existing Roof Deck</t>
  </si>
  <si>
    <t>Remove existing Roof Deck, incl. disposal to out of site</t>
  </si>
  <si>
    <t>TPO Patch</t>
  </si>
  <si>
    <t xml:space="preserve">Membrane 60mil TPO </t>
  </si>
  <si>
    <t>Miscellaneous Steel works</t>
  </si>
  <si>
    <t>Supply and installation of Structural Reinforcement steel for Canopy, Incl. Structural Calculations</t>
  </si>
  <si>
    <t>CANOPY</t>
  </si>
  <si>
    <t>Supply and install Vestibule Canopy(size 14'x5'x3', ACM) including the sub-structure, inlet, downspout, aluminum ceiling tile, roof membrane and other accessories for installation</t>
  </si>
  <si>
    <t>Grating</t>
  </si>
  <si>
    <t>For Trench, 1 3/4"x3/16" MTL BAR Grating(Galv.)</t>
  </si>
  <si>
    <t>Trench-1</t>
  </si>
  <si>
    <t>W36" X H6", embedded steel profiles(incl. angle), all sub-material.</t>
  </si>
  <si>
    <t>Trench-2</t>
  </si>
  <si>
    <t>W16" X H6", embedded steel profiles(incl. angle), all sub-material.</t>
  </si>
  <si>
    <t>Trench-3</t>
  </si>
  <si>
    <t>W19" X H6", embedded steel profiles(incl. angle), all sub-material.</t>
  </si>
  <si>
    <t>8) TOLIET WORKS</t>
  </si>
  <si>
    <t>Water Proofing</t>
  </si>
  <si>
    <t>Supply and install Elastic Liquid-applied memberane water proof(Floor+Vertical), or equivalent, including the required adhesive, corner bead and misc. materials for installation.</t>
  </si>
  <si>
    <t>Urinal Partition</t>
  </si>
  <si>
    <t>Supply and install Laminated toilet parition(Laminate shall be water-resistance). Include all hardware set and accessories. Design proposed by the Subontractor and approved by the Contractor(no additional claim)</t>
  </si>
  <si>
    <t>Mirror</t>
  </si>
  <si>
    <t>Thickness : 1/4", include frame(if the Contractor requests)</t>
  </si>
  <si>
    <t>ADA GRAB BAR</t>
  </si>
  <si>
    <t>Refer to Fixture document</t>
  </si>
  <si>
    <t>Mop Sink</t>
  </si>
  <si>
    <t>Mop Sink Faucet</t>
  </si>
  <si>
    <t>Vanity Counter</t>
  </si>
  <si>
    <t>12'-1" PIPE STRUCTURE REINFORCEMENT + CONTER TOP</t>
  </si>
  <si>
    <t>Vanity Bowl Faucet</t>
  </si>
  <si>
    <t>Urinal</t>
  </si>
  <si>
    <t>URINAL FLUSH VALVE</t>
  </si>
  <si>
    <t>Paper Towel Dispenser</t>
  </si>
  <si>
    <t>Toilet Paper Dispenser</t>
  </si>
  <si>
    <t>Seat Cover Dispenser</t>
  </si>
  <si>
    <t>Ada Toilet Closet Bowl</t>
  </si>
  <si>
    <t>TOILET CLOSET BOWL ADA FLUSH VALVE</t>
  </si>
  <si>
    <t>9) CIVIL WORKS</t>
  </si>
  <si>
    <t>Sanitary Sewer Line - Size Change</t>
  </si>
  <si>
    <t>Demolition Work</t>
  </si>
  <si>
    <t>Demolition of Concrete (Curb&amp;Gutter)</t>
  </si>
  <si>
    <t>Length of Curb&amp;Gutter = 30.00 LF / with GAB under the C&amp;G</t>
  </si>
  <si>
    <t>Demolition of Asphalt (Asphalt Cutting Length)</t>
  </si>
  <si>
    <t>with Asphalt Cutting</t>
  </si>
  <si>
    <t>Demolition of GAB</t>
  </si>
  <si>
    <t>with Cutting Soil</t>
  </si>
  <si>
    <t>Restoration Work (Pavement)</t>
  </si>
  <si>
    <t>Installation of Concrete Curb&amp;Gutter</t>
  </si>
  <si>
    <t>GAB down and compaction</t>
  </si>
  <si>
    <t>For Curb&amp;Gutter</t>
  </si>
  <si>
    <t>Asphalt Paving (Binder)</t>
  </si>
  <si>
    <t>T=3.5"</t>
  </si>
  <si>
    <t>FT2</t>
  </si>
  <si>
    <t>Tack Coating</t>
  </si>
  <si>
    <t>RSC-4 (30 ℓ/a)</t>
  </si>
  <si>
    <t>Asphalt Paving (Surface)</t>
  </si>
  <si>
    <t>T=2.0"</t>
  </si>
  <si>
    <t>For Asphalt Pavement</t>
  </si>
  <si>
    <t>Installation of Wire Meshed Fence</t>
  </si>
  <si>
    <t>Line Striping for road</t>
  </si>
  <si>
    <t>W5", Solid White &amp; W5", Dashed / White&amp;Yellow</t>
  </si>
  <si>
    <t>Restoration Work of Damaged other Pipe</t>
  </si>
  <si>
    <t>Cost for repair in the event of damage to other utilities during construction (quantity shall be zero if no damage occurs).</t>
  </si>
  <si>
    <t>Secondary Containment System</t>
  </si>
  <si>
    <t>Demolition of Concrete (Top of Pit, 3ft)</t>
  </si>
  <si>
    <t>Pit Backfilling Work</t>
  </si>
  <si>
    <t>Placement of hauling dirt / fine grading (Inc. Pit)</t>
  </si>
  <si>
    <t>Compacted lifts : T=8" at maximum
Compaction Density : 98%</t>
  </si>
  <si>
    <t>Fine grading &amp; Compaction before lay down Gravel</t>
  </si>
  <si>
    <t>Underground Pipe</t>
  </si>
  <si>
    <t>HDPE 12", Inc. Sub Material</t>
  </si>
  <si>
    <t>Asphalt Paving Work - Additional Parking Lot</t>
  </si>
  <si>
    <t>Length of Curb&amp;Gutter = 36.95 LF</t>
  </si>
  <si>
    <t>For Curb&amp;Gutter / Asphalt Paving</t>
  </si>
  <si>
    <t>Reinstallation of Asphalt Paving (Binder)</t>
  </si>
  <si>
    <t>T=2.5"</t>
  </si>
  <si>
    <t>Reinstallation of Asphalt Paving (Surface)</t>
  </si>
  <si>
    <t>Restoration Work</t>
  </si>
  <si>
    <t>Restoration other Pavement</t>
  </si>
  <si>
    <t>Cost for repair in the event of damage to other Pavement during construction (quantity shall be zero if no damage occurs).</t>
  </si>
  <si>
    <t>Water Line - Capacity</t>
  </si>
  <si>
    <t>Crossing Work (Assist the Electrical Work)</t>
  </si>
  <si>
    <t>Length of Curb&amp;Gutter = 30.00 LF</t>
  </si>
  <si>
    <t>with Asphalt Cutting / Inc. Waste disposal</t>
  </si>
  <si>
    <t>Demolition of Concrete (Dock)</t>
  </si>
  <si>
    <t>Area of Dock = 230.73 SF</t>
  </si>
  <si>
    <t>Curb&amp;Gutter / Dock</t>
  </si>
  <si>
    <t>For Curb&amp;Gutter / Dock / Asphalt Paving</t>
  </si>
  <si>
    <t>Concrete paving(Dock)</t>
  </si>
  <si>
    <t>T=8.0"</t>
  </si>
  <si>
    <t>YD3D</t>
  </si>
  <si>
    <r>
      <rPr>
        <b/>
        <sz val="9"/>
        <rFont val="Arial"/>
        <family val="2"/>
      </rPr>
      <t xml:space="preserve">[ </t>
    </r>
    <r>
      <rPr>
        <b/>
        <sz val="9"/>
        <rFont val="Noto Sans"/>
        <family val="2"/>
      </rPr>
      <t xml:space="preserve">건축공사 </t>
    </r>
    <r>
      <rPr>
        <b/>
        <sz val="9"/>
        <rFont val="Arial"/>
        <family val="2"/>
        <charset val="1"/>
      </rPr>
      <t>Total ]</t>
    </r>
  </si>
  <si>
    <t>M0 General</t>
  </si>
  <si>
    <t>M1-0 General</t>
  </si>
  <si>
    <t>Design &amp; Engineering Review</t>
  </si>
  <si>
    <t>Shop DWG As built Inspection Authorization Testing, Adjusting and Balancing etc, as per specification</t>
  </si>
  <si>
    <t>M1-1. Equipment</t>
  </si>
  <si>
    <t>SF-703-01</t>
  </si>
  <si>
    <t>2700 CFM</t>
  </si>
  <si>
    <t>SF-703-02</t>
  </si>
  <si>
    <t>EF-703-01</t>
  </si>
  <si>
    <t>100 CFM</t>
  </si>
  <si>
    <t>EF-703-02</t>
  </si>
  <si>
    <t>300 CFM</t>
  </si>
  <si>
    <t>EF-703-03</t>
  </si>
  <si>
    <t>200 CFM</t>
  </si>
  <si>
    <t>EF-703-04</t>
  </si>
  <si>
    <t>500 CFM</t>
  </si>
  <si>
    <t>EF-703-05</t>
  </si>
  <si>
    <t>1200 CFM</t>
  </si>
  <si>
    <t>EF-703-06</t>
  </si>
  <si>
    <t>2600 CFM</t>
  </si>
  <si>
    <t>EF-703-07</t>
  </si>
  <si>
    <t>EF-703-08</t>
  </si>
  <si>
    <t>3100 CFM</t>
  </si>
  <si>
    <t>EF-703-09</t>
  </si>
  <si>
    <t>EF-703-10</t>
  </si>
  <si>
    <t>AC-709-01 (w/Dryer, Filters, etc)</t>
  </si>
  <si>
    <t>1130 CFM</t>
  </si>
  <si>
    <t>AC-709-02 (w/Dryer, Filters, etc)</t>
  </si>
  <si>
    <t>388 CFM</t>
  </si>
  <si>
    <t>CU-709-01</t>
  </si>
  <si>
    <t>3HP</t>
  </si>
  <si>
    <t>CU-709-02</t>
  </si>
  <si>
    <t>1HP</t>
  </si>
  <si>
    <t>M1-2. Duct Work</t>
  </si>
  <si>
    <t>Galvanized Steel Duct Installation 
 - Galvanised duct based on SMACNA Standard_#26 (0.55T)</t>
  </si>
  <si>
    <t>Include wall and ceiling penetration filling, fire-resistant material for the firewall finish, flexible duct, canvas joint, insect screen, reinforcement, accessories, supports, sleeves, openning, inserts, etc.</t>
  </si>
  <si>
    <t>M2</t>
  </si>
  <si>
    <t>Galvanized Steel Duct Installation 
 - Galvanised duct based on SMACNA Standard_#24 (0.6T)</t>
  </si>
  <si>
    <t>Galvanized Steel Duct Installation 
 - Galvanised duct based on SMACNA Standard_#22 (0.85T)</t>
  </si>
  <si>
    <t>STAINLESS Steel Duct Installation(Welding) 
 - #18 (1.2T)</t>
  </si>
  <si>
    <t>STAINLESS Steel Duct Installation(Welding) 
 - #16 (1.6T)</t>
  </si>
  <si>
    <t>Round Duct</t>
  </si>
  <si>
    <t>200A</t>
  </si>
  <si>
    <t>M</t>
  </si>
  <si>
    <t>300A</t>
  </si>
  <si>
    <t>450A</t>
  </si>
  <si>
    <t>Duct Insulation</t>
  </si>
  <si>
    <t>As per specification</t>
  </si>
  <si>
    <t>SQUARE DIFFUSER</t>
  </si>
  <si>
    <t>ND150</t>
  </si>
  <si>
    <t>ND200</t>
  </si>
  <si>
    <t>ND250</t>
  </si>
  <si>
    <t>ND300</t>
  </si>
  <si>
    <t>REGISTER</t>
  </si>
  <si>
    <t>200*150</t>
  </si>
  <si>
    <t>250*200</t>
  </si>
  <si>
    <t>250*250</t>
  </si>
  <si>
    <t>300*150</t>
  </si>
  <si>
    <t>300*300</t>
  </si>
  <si>
    <t>450*250</t>
  </si>
  <si>
    <t>V.D</t>
  </si>
  <si>
    <t>B.D.D</t>
  </si>
  <si>
    <t>8"x8"</t>
  </si>
  <si>
    <t>12"x12"</t>
  </si>
  <si>
    <t>18"x18"</t>
  </si>
  <si>
    <t>R.D</t>
  </si>
  <si>
    <t xml:space="preserve">Identification </t>
  </si>
  <si>
    <t>Apply to ducts and all dampers</t>
  </si>
  <si>
    <t>LOT</t>
  </si>
  <si>
    <t>M1-3-1. Domestic Water</t>
  </si>
  <si>
    <t>STAINLESS STEEL PIPE  ASTM A312-TP304, ERW</t>
  </si>
  <si>
    <t xml:space="preserve">¾", Include Pipe fittings(Elbows, Tees, Nipples, Reducers, Caps, Flanges, etc.), sleeves, opennings, inserts, finishings around openings or sleeves, Supports, Anti-Corrosion Paint, According to the specified pipe joining methods. </t>
  </si>
  <si>
    <t xml:space="preserve">1", Include Pipe fittings(Elbows, Tees, Nipples, Reducers, Caps, Flanges, etc.), sleeves, opennings, inserts, finishings around openings or sleeves, Supports, According to the specified pipe joining methods. </t>
  </si>
  <si>
    <t xml:space="preserve">1½", Include Pipe fittings(Elbows, Tees, Nipples, Reducers, Caps, Flanges, etc.), sleeves, opennings, inserts, finishings around openings or sleeves, Supports, According to the specified pipe joining methods. </t>
  </si>
  <si>
    <t xml:space="preserve">2", Include Pipe fittings(Elbows, Tees, Nipples, Reducers, Caps, Flanges, etc.), sleeves, opennings, inserts, finishings around openings or sleeves, Supports, According to the specified pipe joining methods. </t>
  </si>
  <si>
    <t>CPVC (ASTM D 2846)</t>
  </si>
  <si>
    <t xml:space="preserve">½", Include Pipe fittings(Elbows, Tees, Nipples, Reducers, Caps, Flanges, etc.), sleeves, opennings, inserts, finishings around openings or sleeves, Supports, According to the specified pipe joining methods. </t>
  </si>
  <si>
    <t>Pipe Insulation (Flexible Elastomeric Insulation)</t>
  </si>
  <si>
    <t>D 20x25T, Included Pipe Shoe Insulation</t>
  </si>
  <si>
    <t>D 25x25T, Included Pipe Shoe Insulation</t>
  </si>
  <si>
    <t>D 40x25T, Included Pipe Shoe Insulation</t>
  </si>
  <si>
    <t>D 50x25T, Included Pipe Shoe Insulation</t>
  </si>
  <si>
    <t>Ball valve</t>
  </si>
  <si>
    <t>¾"</t>
  </si>
  <si>
    <t>1"</t>
  </si>
  <si>
    <t>1½"</t>
  </si>
  <si>
    <t>2"</t>
  </si>
  <si>
    <t>Valve Insulation</t>
  </si>
  <si>
    <t>Point</t>
  </si>
  <si>
    <t>Strainer</t>
  </si>
  <si>
    <t>Check Valve</t>
  </si>
  <si>
    <t>Relief Valve</t>
  </si>
  <si>
    <t>Thermostatic Mixing Valve</t>
  </si>
  <si>
    <t>TMV-1</t>
  </si>
  <si>
    <t>Water Heater</t>
  </si>
  <si>
    <t>WH-1</t>
  </si>
  <si>
    <t>Expansion Tank</t>
  </si>
  <si>
    <t>EX-1</t>
  </si>
  <si>
    <t>Recirculation Pump</t>
  </si>
  <si>
    <t>RP-1</t>
  </si>
  <si>
    <t>URINAL Bracket</t>
  </si>
  <si>
    <t>SINGLE</t>
  </si>
  <si>
    <t>Water Closet Bracket</t>
  </si>
  <si>
    <t>DOUBLE</t>
  </si>
  <si>
    <t>P.G (Carbon)</t>
  </si>
  <si>
    <t>0-35 KG/CM2</t>
  </si>
  <si>
    <t>T.G (Carbon)</t>
  </si>
  <si>
    <t>L Type</t>
  </si>
  <si>
    <t>Apply to All Pipe &amp; Valve</t>
  </si>
  <si>
    <t>M1-3-2. Plumbing</t>
  </si>
  <si>
    <t>PVC (ASTM D 1785)</t>
  </si>
  <si>
    <t xml:space="preserve">3", Include Pipe fittings(Elbows, Tees, Nipples, Reducers, Caps, Flanges, etc.), sleeves, opennings, inserts, finishings around openings or sleeves, Supports, According to the specified pipe joining methods. </t>
  </si>
  <si>
    <t xml:space="preserve">4", Include Pipe fittings(Elbows, Tees, Nipples, Reducers, Caps, Flanges, etc.), sleeves, opennings, inserts, finishings around openings or sleeves, Supports, According to the specified pipe joining methods. </t>
  </si>
  <si>
    <t>Floor Drain</t>
  </si>
  <si>
    <t>3"</t>
  </si>
  <si>
    <t>4"</t>
  </si>
  <si>
    <t>Floor Cleanout</t>
  </si>
  <si>
    <t>Wall Cleanout</t>
  </si>
  <si>
    <t>EXCAVAITION,BACK FILL AND SOIL DISPOAL</t>
  </si>
  <si>
    <t>Excavaition for underground piping and soil disposal at site</t>
  </si>
  <si>
    <t>M1-3-3 A/G NG Piping Work</t>
  </si>
  <si>
    <t>BLACK CARBON STEEL PIPE ASTM A53 GR B, ERW</t>
  </si>
  <si>
    <t xml:space="preserve">1", Include Pipe fittings(Elbows, Tees, Nipples, Reducers, Caps, Flanges, etc.), sleeves, opennings, inserts, finishings around openings or sleeves, Supports, Anti-Corrosion Paint, According to the specified pipe joining methods. </t>
  </si>
  <si>
    <t xml:space="preserve">1½", Include Pipe fittings(Elbows, Tees, Nipples, Reducers, Caps, Flanges, etc.), sleeves, opennings, inserts, finishings around openings or sleeves, Supports, Anti-Corrosion Paint, According to the specified pipe joining methods. </t>
  </si>
  <si>
    <t>Ball valve (Gas)</t>
  </si>
  <si>
    <t>P.G (Carbon) (Gas)</t>
  </si>
  <si>
    <t>M1-4. Fire Protection Work</t>
  </si>
  <si>
    <t>SPRINKLER SUB-MAIN, BRANCH PIPE, AND HEAD</t>
  </si>
  <si>
    <t xml:space="preserve">OH1 (WET) Include Pipe fittings(Elbows, Tees, Nipples, Reducers, Caps, Flanges, etc.), obstruction, sleeves, opennings, inserts, finishings around openings or sleeves, Supports, Anti-Corrosion Paint, According to the specified pipe joining methods. </t>
  </si>
  <si>
    <t>SQLF</t>
  </si>
  <si>
    <t>Fire Extinguisher</t>
  </si>
  <si>
    <t>20 LB, ABC DRY CHEMICAL, INCLUDE SUPPORT &amp; SIGN</t>
  </si>
  <si>
    <t>Testing</t>
  </si>
  <si>
    <t>As per inspection &amp; Test report
 - Material inspetion / Visual / Welding inspetion / Hydro &amp; Leak Test and etc.</t>
  </si>
  <si>
    <t>Design</t>
  </si>
  <si>
    <t>Working, shop, and as-built drawings</t>
  </si>
  <si>
    <t>AHJ Approvals</t>
  </si>
  <si>
    <t>Submission and discussion works related with AHJ</t>
  </si>
  <si>
    <t>M1-5. Mechanical Demolition Work</t>
  </si>
  <si>
    <t>Demolition Equipment</t>
  </si>
  <si>
    <t>EF-703-1701 (Includes all associated ducts, piping, dampers, valves, insulation, fittings, supports, hangers, foundations, removal from site, transportation, and disposal etc.)</t>
  </si>
  <si>
    <t>EF-703-1702 (Includes all associated ducts, piping, dampers, valves, insulation, fittings, supports, hangers, foundations, removal from site, transportation, and disposal etc.)</t>
  </si>
  <si>
    <t>RP-1 (Includes all associated ducts, piping, dampers, valves, insulation, fittings, supports, hangers, foundations, removal from site, transportation, and disposal etc.)</t>
  </si>
  <si>
    <t>WH-1 (Includes all associated ducts, piping, dampers, valves, insulation, fittings, supports, hangers, foundations, removal from site, transportation, and disposal etc.)</t>
  </si>
  <si>
    <t>ETWH-1 (Includes all associated ducts, piping, dampers, valves, insulation, fittings, supports, hangers, foundations, removal from site, transportation, and disposal etc.)</t>
  </si>
  <si>
    <t>TMV-1 (Includes all associated ducts, piping, dampers, valves, insulation, fittings, supports, hangers, foundations, removal from site, transportation, and disposal etc.)</t>
  </si>
  <si>
    <t>FOAM WATER SYSTEM TANK (Includes all associated ducts, piping, dampers, valves, insulation, fittings, supports, hangers, foundations, removal from site, transportation, and disposal etc.)</t>
  </si>
  <si>
    <t>EMERGENCY/EYE SHOWER (Includes all associated ducts, piping, dampers, valves, insulation, fittings, supports, hangers, foundations, removal from site, transportation, and disposal etc.)</t>
  </si>
  <si>
    <t>Demolition Air Terminal</t>
  </si>
  <si>
    <t>Damper, Diffuser, Grille, Reister etc (Includes all associated ducts, piping, dampers, valves, insulation, fittings, supports, hangers, foundations, removal from site, transportation, and disposal etc.)</t>
  </si>
  <si>
    <t>Demolition Pipe</t>
  </si>
  <si>
    <t>Galva Black Steel, Stainless Steel, CPVC, PVC etc (Includes all associated ducts, piping, dampers, valves, insulation, fittings, end cap installation, supports, hangers, foundations, removal from site, transportation, and disposal etc.)</t>
  </si>
  <si>
    <t>M1-6. Civil WORK</t>
  </si>
  <si>
    <t>Demolition of PVC Pipe (Ø3")</t>
  </si>
  <si>
    <t>with Cleanout</t>
  </si>
  <si>
    <t>Re-Installation Work (Pipe)</t>
  </si>
  <si>
    <t>Installation of PVC Pipe (SDR 26 PVC Pipe Ø6")</t>
  </si>
  <si>
    <t>Pipe : PVC Φ 6"/
Max 8" thick Compacted lifts, 98% dry density
Inc. Angle Part</t>
  </si>
  <si>
    <t>Installation of Cleanout (Ø6")</t>
  </si>
  <si>
    <t>Type : SDR 26 PVC, Diameter = Ø6"</t>
  </si>
  <si>
    <t>Connect to existing Pipe</t>
  </si>
  <si>
    <t>Grease Waste Management</t>
  </si>
  <si>
    <t>Installation work</t>
  </si>
  <si>
    <t>Installation of PVC Pipe (SDR 26 PVC Pipe Ø4")</t>
  </si>
  <si>
    <t>Pipe : PVC Φ 4"/
Max 8" thick Compacted lifts, 98% dry density</t>
  </si>
  <si>
    <t>Installation of Cleanout (Ø4")</t>
  </si>
  <si>
    <t>Type : SDR 26 PVC, Diameter = Ø4"</t>
  </si>
  <si>
    <t>Installation of Sanitary Sewer M/H (Ø48")</t>
  </si>
  <si>
    <t>Demolition of PVC Pipe (Ø10")</t>
  </si>
  <si>
    <t>Demolition of DIP Pipe (Ø8")</t>
  </si>
  <si>
    <t>Demolition of Greenvalve&amp;M/H (Ø8"/Ø48")</t>
  </si>
  <si>
    <t>Installation of Plug</t>
  </si>
  <si>
    <t>Blocking the pipe in both directions at the pit</t>
  </si>
  <si>
    <t>Capacith</t>
  </si>
  <si>
    <t xml:space="preserve">Pipe installation by Directional Boring </t>
  </si>
  <si>
    <t>Pipe Diameter Φ = 4"</t>
  </si>
  <si>
    <t>Installation of Water Angle</t>
  </si>
  <si>
    <t>CW PVC SDR-21, Ø4", 90˚</t>
  </si>
  <si>
    <t>Installation of Water Tee</t>
  </si>
  <si>
    <t>CW PVC SDR-21, 4"x4"x4"</t>
  </si>
  <si>
    <t>Installation of Gatevalve</t>
  </si>
  <si>
    <t>Type = CW PVD SDR-21, Ø4"</t>
  </si>
  <si>
    <t>Installation of Gatevalve M/H</t>
  </si>
  <si>
    <t>Size = Ø48"</t>
  </si>
  <si>
    <t>Installation of PVC Pipe (CW PVC SDR-21)</t>
  </si>
  <si>
    <t>Connect to existing pipe</t>
  </si>
  <si>
    <t>Inc. Megalug</t>
  </si>
  <si>
    <r>
      <rPr>
        <b/>
        <sz val="9"/>
        <rFont val="Arial"/>
        <family val="2"/>
      </rPr>
      <t xml:space="preserve">[ </t>
    </r>
    <r>
      <rPr>
        <b/>
        <sz val="9"/>
        <rFont val="Noto Sans"/>
        <family val="2"/>
      </rPr>
      <t xml:space="preserve">설비공사 </t>
    </r>
    <r>
      <rPr>
        <b/>
        <sz val="9"/>
        <rFont val="Arial"/>
        <family val="2"/>
        <charset val="1"/>
      </rPr>
      <t>Total ]</t>
    </r>
  </si>
  <si>
    <t>01. POWER DISTRIBUTION WORK</t>
  </si>
  <si>
    <t>Distribution Panel (Kitchen-Main)</t>
  </si>
  <si>
    <t>3P4W 208-120V 400AF/400AT</t>
  </si>
  <si>
    <t>Distribution Panel (Kitchen-01-1,2)</t>
  </si>
  <si>
    <t>3P 480V 400AF/400AT</t>
  </si>
  <si>
    <t>Distribution Panel (Kitchen-02-1)</t>
  </si>
  <si>
    <t>3P4W 480-277V 150AF/125AT</t>
  </si>
  <si>
    <t>Distribution Panel (Kitchen-02-2)</t>
  </si>
  <si>
    <t>3P4W 208-120V 150AF/125AT</t>
  </si>
  <si>
    <t>Dry Transformer (Kitchen-01-2(DTR))</t>
  </si>
  <si>
    <t>480/208V-120V 150kVA</t>
  </si>
  <si>
    <t>PANEL SUPPORT</t>
  </si>
  <si>
    <t>Unistrut / corner angle / bolt &amp; nut / anchor for concrete … etc</t>
  </si>
  <si>
    <t>ALUMINUM CABLE TRAY (LADDER TYPE)</t>
  </si>
  <si>
    <t>12"Width, 4"height, 9"rung spacing</t>
  </si>
  <si>
    <t>24"Width, 4"height, 9"rung spacing</t>
  </si>
  <si>
    <t>36"Width, 4"height, 9"rung spacing</t>
  </si>
  <si>
    <t>ALUMINUM HORIZONTAL ELBOW (LADDER TYPE)</t>
  </si>
  <si>
    <t>ALUMINUM VERTICAL ELBOW (LADDER TYPE)</t>
  </si>
  <si>
    <t>ALUMINUM TEE HORIZONTAL (LADDER TYPE)</t>
  </si>
  <si>
    <t>12" Cable tray support W/Accessories</t>
  </si>
  <si>
    <t>12" Width including beam clamp, square washer, unistrut, 2 rods, etc</t>
  </si>
  <si>
    <t>24" Cable tray support W/Accessories</t>
  </si>
  <si>
    <t>24" Width including beam clamp, square washer, unistrut, 2 rods, etc</t>
  </si>
  <si>
    <t>36" Cable tray support W/Accessories</t>
  </si>
  <si>
    <t>36" Width including beam clamp, square washer, unistrut, 2 rods, etc</t>
  </si>
  <si>
    <t>CABLE TRAY BOX CONNECTOR</t>
  </si>
  <si>
    <t>12", Bolt, Nut, ETC</t>
  </si>
  <si>
    <t>24", Bolt, Nut, ETC</t>
  </si>
  <si>
    <t>36", Bolt, Nut, ETC</t>
  </si>
  <si>
    <t>BONDING JUMPER</t>
  </si>
  <si>
    <t>12"</t>
  </si>
  <si>
    <t>ELECTRICAL METALLIC TUBING (EMT)</t>
  </si>
  <si>
    <t>3" SET SCREW</t>
  </si>
  <si>
    <t>2" SET SCREW</t>
  </si>
  <si>
    <t>1-1/2" SET SCREW</t>
  </si>
  <si>
    <t>1" SET SCREW</t>
  </si>
  <si>
    <t>CONDUIT SUPPORT SYSTEM</t>
  </si>
  <si>
    <t>1-1/2"</t>
  </si>
  <si>
    <t>Liquidtight Flexible Metal Conduit</t>
  </si>
  <si>
    <t>Liquidtight Flexible Metal Conduit Connector</t>
  </si>
  <si>
    <t>Grounding Bushing</t>
  </si>
  <si>
    <t>SINGLE CONDUCTOR (THHN/THWN-2) - STRANDED</t>
  </si>
  <si>
    <t>500kcmil</t>
  </si>
  <si>
    <t>250kcmil</t>
  </si>
  <si>
    <t>AWG#3/0</t>
  </si>
  <si>
    <t>AWG#1/0</t>
  </si>
  <si>
    <t>AWG#1</t>
  </si>
  <si>
    <t>AWG#6</t>
  </si>
  <si>
    <t>SINGLE CONDUCTOR (THHN/THWN) - STRANDED</t>
  </si>
  <si>
    <t>AWG#2, Ground</t>
  </si>
  <si>
    <t>AWG#4, Ground</t>
  </si>
  <si>
    <t>AWG#6, Ground</t>
  </si>
  <si>
    <t>AWG#8, Ground</t>
  </si>
  <si>
    <t>CONNECTION AND TERMINATION</t>
  </si>
  <si>
    <t>#500 Kcmil COMPRESSION TYPE</t>
  </si>
  <si>
    <t>#250 Kcmil COMPRESSION TYPE</t>
  </si>
  <si>
    <t>AWG#3/0 COMPRESSION TYPE</t>
  </si>
  <si>
    <t>AWG#1/0 COMPRESSION TYPE</t>
  </si>
  <si>
    <t>AWG#1 COMPRESSION TYPE</t>
  </si>
  <si>
    <t>AWG#2 COMPRESSION TYPE</t>
  </si>
  <si>
    <t>AWG#4 COMPRESSION TYPE</t>
  </si>
  <si>
    <t>AWG#6 COMPRESSION TYPE</t>
  </si>
  <si>
    <t>AWG#8 COMPRESSION TYPE</t>
  </si>
  <si>
    <t>JUNCTION BOX, NEMA-1</t>
  </si>
  <si>
    <t>12"W x 12"H x 6"D</t>
  </si>
  <si>
    <t>24"W x 24"H x 12"D</t>
  </si>
  <si>
    <t>FIRE BLOCK SEALANT (RED)</t>
  </si>
  <si>
    <t>12 OZ</t>
  </si>
  <si>
    <t>FIRE STOP BARRIER</t>
  </si>
  <si>
    <t>36"Width x 4"Height</t>
  </si>
  <si>
    <t>24"Width x 4"Height</t>
  </si>
  <si>
    <t>Trenching And Backfill (W/Compaction)</t>
  </si>
  <si>
    <t>3' WIDE X 5' DEEP</t>
  </si>
  <si>
    <t>02. MECHANICAL POWER WORK</t>
  </si>
  <si>
    <t>Disconnect SW</t>
  </si>
  <si>
    <t>480V 3P 30A NEMA-1</t>
  </si>
  <si>
    <t>480V 3P 60A NEMA-1</t>
  </si>
  <si>
    <t>480V 3P 200A NEMA-1</t>
  </si>
  <si>
    <t>3/4" SET SCREW</t>
  </si>
  <si>
    <t>3/4"</t>
  </si>
  <si>
    <t>Multi Conductor (THHN/THWN-2) - Stranded</t>
  </si>
  <si>
    <t>(3PH) AWG#8</t>
  </si>
  <si>
    <t>(3PH) AWG#10</t>
  </si>
  <si>
    <t>AWG#10 COMPRESSION TYPE</t>
  </si>
  <si>
    <t>4"W x 4"H x 2-1/4"D</t>
  </si>
  <si>
    <t>8"W x 8"H x 2-1/4"D</t>
  </si>
  <si>
    <t>MOTER SWITCH</t>
  </si>
  <si>
    <t>480V 30A 3P</t>
  </si>
  <si>
    <t>480V 60A 3P</t>
  </si>
  <si>
    <t>03. Lighting WORK</t>
  </si>
  <si>
    <t>AWG#12</t>
  </si>
  <si>
    <t>Multi Conductor (THHN/THWN) - Stranded</t>
  </si>
  <si>
    <t>(3PH) AWG#12</t>
  </si>
  <si>
    <t>MC(FLEXIBLE ALUMIUM CONDUIT) CABLE</t>
  </si>
  <si>
    <t>MC CABLE HANGER CLAMP</t>
  </si>
  <si>
    <t>14-2 TO 10-3 MC</t>
  </si>
  <si>
    <t>Metal Clad Cable(M/C) Fitting</t>
  </si>
  <si>
    <t>Busing,Wirng nuts,Wire &amp; etc</t>
  </si>
  <si>
    <t>AWG#12 COMPRESSION TYPE</t>
  </si>
  <si>
    <t>4"W x 2"H x 2-1/4"D</t>
  </si>
  <si>
    <t>SWITCH 1P</t>
  </si>
  <si>
    <t>20A 120-277V 1G</t>
  </si>
  <si>
    <t>LED Lighting Fixture</t>
  </si>
  <si>
    <t>TYPE "Down Light" (LED 18.5W)</t>
  </si>
  <si>
    <t>TYPE "Down Light with Battery"</t>
  </si>
  <si>
    <t>TYPE "EL"</t>
  </si>
  <si>
    <t>TYPE "J1" (LED 3.6W)_EXIT LIGHT(W/BUG EYE)</t>
  </si>
  <si>
    <t>LIGHTING SUPPORT</t>
  </si>
  <si>
    <t>04. Receptacle WORK</t>
  </si>
  <si>
    <t>Receptacle</t>
  </si>
  <si>
    <t>20A 120V Duplex</t>
  </si>
  <si>
    <t>20A 120V Duplex, GFCI (Weatherproof)</t>
  </si>
  <si>
    <t>Receptacle Cover</t>
  </si>
  <si>
    <t>Duplex, Weatherproof</t>
  </si>
  <si>
    <t>05. INCIDENTAL EXPENSE</t>
  </si>
  <si>
    <t>SHOP Drawing &amp; Permit</t>
  </si>
  <si>
    <t>UL INSPECTION W/CERTIFICATION, LV TES, Start UP &amp; ETC</t>
  </si>
  <si>
    <t>Waste Disposal</t>
  </si>
  <si>
    <t>Gravel #57</t>
  </si>
  <si>
    <t>Ton</t>
  </si>
  <si>
    <t>Lawn Recover</t>
  </si>
  <si>
    <t>Sqft</t>
  </si>
  <si>
    <t>Demolition &amp; Relocation</t>
  </si>
  <si>
    <t>HZD-6H, Lighting , HZD-6L,TR-HZD-6 etc.</t>
  </si>
  <si>
    <t>Circuit Route Change</t>
  </si>
  <si>
    <t>Existed Circuits to New Panel</t>
  </si>
  <si>
    <t>06. FIRE ALARM SYSTEM</t>
  </si>
  <si>
    <t>Fire Alarm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</si>
</sst>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4" formatCode="_-&quot;₩&quot;* #,##0.00_-;\-&quot;₩&quot;* #,##0.00_-;_-&quot;₩&quot;* &quot;-&quot;??_-;_-@_-"/>
    <numFmt numFmtId="43" formatCode="_-* #,##0.00_-;\-* #,##0.00_-;_-* &quot;-&quot;??_-;_-@_-"/>
    <numFmt numFmtId="176" formatCode="[$-409]mmmm\ d\,\ yyyy;@"/>
    <numFmt numFmtId="177" formatCode="dd/mm/yy"/>
    <numFmt numFmtId="178" formatCode="m&quot;월&quot;\ d&quot;일&quot;"/>
    <numFmt numFmtId="179" formatCode="&quot;$&quot;#,##0.00"/>
    <numFmt numFmtId="180" formatCode="#,000"/>
    <numFmt numFmtId="181" formatCode="_(&quot;$&quot;* #,##0.00_);_(&quot;$&quot;* \(#,##0.00\);_(&quot;$&quot;* &quot;-&quot;??_);_(@_)"/>
    <numFmt numFmtId="183" formatCode="_([$€]* #,##0.00_);_([$€]* \(#,##0.00\);_([$€]* &quot;-&quot;??_);_(@_)"/>
    <numFmt numFmtId="184" formatCode="0.0%"/>
    <numFmt numFmtId="185" formatCode="_(* #,##0_);_(* \(#,##0\);_(* &quot;-&quot;_);_(@_)"/>
    <numFmt numFmtId="186" formatCode="#,##0_ "/>
    <numFmt numFmtId="187" formatCode="#,##0.00_);[Red]\(#,##0.00\)"/>
    <numFmt numFmtId="189" formatCode="_(* #,##0.00_);_(* \(#,##0.00\);_(* &quot;-&quot;??_);_(@_)"/>
    <numFmt numFmtId="191" formatCode="[$Ђ-2]\ #,##0.00_);[Red]\([$Ђ-2]\ #,##0.00\)"/>
    <numFmt numFmtId="193" formatCode="mm/dd/yyyy"/>
    <numFmt numFmtId="198" formatCode="_-* #,##0_-;\-* #,##0_-;_-* \-_-;_-@_-"/>
    <numFmt numFmtId="199" formatCode="_(\$* #,##0.00_);_(\$* \(#,##0.00\);_(\$* \-??_);_(@_)"/>
    <numFmt numFmtId="201" formatCode="_-* #,##0.00_-;\-* #,##0.00_-;_-* \-??_-;_-@_-"/>
    <numFmt numFmtId="203" formatCode="m/d/yyyy"/>
    <numFmt numFmtId="204" formatCode="_-\₩* #,##0.00_-;&quot;-₩&quot;* #,##0.00_-;_-\₩* \-??_-;_-@_-"/>
    <numFmt numFmtId="205" formatCode="0.0"/>
    <numFmt numFmtId="206" formatCode="_-* #,##0.00_-;\-* #,##0.00_-;_-* \-_-;_-@_-"/>
  </numFmts>
  <fonts count="100">
    <font>
      <sz val="11"/>
      <name val="돋움"/>
    </font>
    <font>
      <sz val="11"/>
      <color theme="1"/>
      <name val="Calibri"/>
      <family val="2"/>
      <charset val="129"/>
      <scheme val="minor"/>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color theme="1"/>
      <name val="맑은 고딕"/>
      <family val="3"/>
      <charset val="129"/>
    </font>
    <font>
      <sz val="11"/>
      <name val="돋움"/>
      <family val="3"/>
      <charset val="129"/>
    </font>
    <font>
      <sz val="9"/>
      <name val="Arial"/>
    </font>
    <font>
      <sz val="8"/>
      <name val="돋움"/>
      <family val="3"/>
      <charset val="129"/>
    </font>
    <font>
      <b/>
      <sz val="7"/>
      <name val="Arial"/>
    </font>
    <font>
      <b/>
      <sz val="8"/>
      <name val="Arial"/>
    </font>
    <font>
      <b/>
      <sz val="9"/>
      <color rgb="FF0000FF"/>
      <name val="Arial"/>
    </font>
    <font>
      <sz val="7"/>
      <name val="Arial"/>
    </font>
    <font>
      <b/>
      <sz val="9"/>
      <name val="Arial"/>
    </font>
    <font>
      <sz val="8"/>
      <name val="굴림"/>
      <family val="3"/>
      <charset val="129"/>
    </font>
    <font>
      <sz val="10"/>
      <name val="Arial"/>
    </font>
    <font>
      <b/>
      <sz val="12"/>
      <name val="Arial"/>
    </font>
    <font>
      <sz val="11"/>
      <color theme="1"/>
      <name val="맑은 고딕"/>
      <family val="3"/>
      <charset val="129"/>
    </font>
    <font>
      <b/>
      <sz val="10"/>
      <name val="Arial"/>
    </font>
    <font>
      <sz val="11"/>
      <color theme="1"/>
      <name val="돋움"/>
      <family val="3"/>
      <charset val="129"/>
    </font>
    <font>
      <sz val="9"/>
      <color rgb="FF0000FF"/>
      <name val="Arial"/>
    </font>
    <font>
      <sz val="10"/>
      <color rgb="FF0000FF"/>
      <name val="Arial"/>
    </font>
    <font>
      <sz val="8"/>
      <name val="Arial"/>
    </font>
    <font>
      <b/>
      <sz val="10"/>
      <color theme="1"/>
      <name val="Arial"/>
    </font>
    <font>
      <sz val="10"/>
      <color indexed="8"/>
      <name val="Arial"/>
    </font>
    <font>
      <sz val="10"/>
      <color indexed="10"/>
      <name val="Arial"/>
    </font>
    <font>
      <b/>
      <sz val="10"/>
      <color indexed="8"/>
      <name val="Arial"/>
    </font>
    <font>
      <sz val="10"/>
      <name val="Arial"/>
    </font>
    <font>
      <b/>
      <sz val="10"/>
      <name val="Arial"/>
    </font>
    <font>
      <i/>
      <sz val="10"/>
      <name val="Arial"/>
    </font>
    <font>
      <b/>
      <sz val="8"/>
      <color theme="0"/>
      <name val="Arial"/>
    </font>
    <font>
      <sz val="11"/>
      <color theme="1"/>
      <name val="맑은 고딕"/>
      <family val="3"/>
      <charset val="129"/>
    </font>
    <font>
      <sz val="11"/>
      <color indexed="8"/>
      <name val="맑은 고딕"/>
      <family val="3"/>
      <charset val="129"/>
    </font>
    <font>
      <sz val="11"/>
      <name val="돋움"/>
      <family val="3"/>
      <charset val="129"/>
    </font>
    <font>
      <sz val="11"/>
      <color theme="1"/>
      <name val="돋음체"/>
      <family val="3"/>
      <charset val="129"/>
    </font>
    <font>
      <sz val="11"/>
      <name val="Calibri"/>
      <family val="2"/>
    </font>
    <font>
      <sz val="11"/>
      <color rgb="FF000000"/>
      <name val="맑은 고딕"/>
      <family val="3"/>
      <charset val="129"/>
    </font>
    <font>
      <sz val="10"/>
      <color theme="1"/>
      <name val="맑은 고딕"/>
      <family val="3"/>
      <charset val="129"/>
    </font>
    <font>
      <sz val="10"/>
      <name val="Arial CE"/>
    </font>
    <font>
      <sz val="10"/>
      <name val="Arial"/>
      <family val="2"/>
    </font>
    <font>
      <b/>
      <sz val="8"/>
      <color rgb="FF0000FF"/>
      <name val="Arial"/>
      <family val="2"/>
    </font>
    <font>
      <b/>
      <sz val="21"/>
      <color indexed="10"/>
      <name val="Arial"/>
      <family val="2"/>
    </font>
    <font>
      <sz val="9"/>
      <name val="돋움"/>
      <family val="3"/>
      <charset val="129"/>
    </font>
    <font>
      <sz val="10"/>
      <name val="돋움"/>
      <family val="3"/>
      <charset val="129"/>
    </font>
    <font>
      <sz val="10"/>
      <color rgb="FFC00000"/>
      <name val="Arial"/>
      <family val="2"/>
    </font>
    <font>
      <sz val="10"/>
      <color rgb="FF000000"/>
      <name val="Arial"/>
      <family val="2"/>
    </font>
    <font>
      <sz val="10"/>
      <name val="Arial"/>
      <family val="2"/>
    </font>
    <font>
      <b/>
      <sz val="12"/>
      <name val="Arial"/>
      <family val="2"/>
    </font>
    <font>
      <b/>
      <sz val="10"/>
      <color rgb="FF44546A"/>
      <name val="Arial"/>
      <family val="2"/>
    </font>
    <font>
      <sz val="10"/>
      <name val="굴림"/>
      <family val="3"/>
      <charset val="129"/>
    </font>
    <font>
      <sz val="10"/>
      <name val="맑은 고딕"/>
      <family val="3"/>
      <charset val="129"/>
    </font>
    <font>
      <sz val="9"/>
      <name val="Arial"/>
      <family val="2"/>
    </font>
    <font>
      <sz val="9"/>
      <name val="Noto Sans"/>
      <family val="2"/>
    </font>
    <font>
      <sz val="9"/>
      <name val="Arial"/>
      <family val="2"/>
      <charset val="1"/>
    </font>
    <font>
      <b/>
      <sz val="10"/>
      <name val="Arial"/>
      <family val="2"/>
    </font>
    <font>
      <b/>
      <sz val="9"/>
      <name val="Arial"/>
      <family val="2"/>
    </font>
    <font>
      <b/>
      <sz val="9"/>
      <name val="Noto Sans"/>
      <family val="2"/>
    </font>
    <font>
      <sz val="9"/>
      <color rgb="FF000000"/>
      <name val="Arial"/>
      <family val="2"/>
    </font>
    <font>
      <sz val="9"/>
      <color rgb="FF0000FF"/>
      <name val="Arial"/>
      <family val="2"/>
    </font>
    <font>
      <b/>
      <sz val="10"/>
      <name val="굴림"/>
      <family val="3"/>
      <charset val="129"/>
    </font>
    <font>
      <sz val="10"/>
      <color rgb="FFFF0000"/>
      <name val="Arial"/>
      <family val="2"/>
    </font>
    <font>
      <sz val="10"/>
      <color rgb="FF000000"/>
      <name val="Arial"/>
      <family val="2"/>
    </font>
    <font>
      <sz val="10"/>
      <color rgb="FF0000FF"/>
      <name val="Arial"/>
      <family val="2"/>
    </font>
    <font>
      <sz val="10"/>
      <name val="Arial Unicode MS"/>
      <family val="3"/>
      <charset val="129"/>
    </font>
    <font>
      <b/>
      <sz val="9"/>
      <color rgb="FF000000"/>
      <name val="Arial"/>
      <family val="2"/>
    </font>
    <font>
      <b/>
      <sz val="9"/>
      <color rgb="FF44546A"/>
      <name val="Arial"/>
      <family val="2"/>
    </font>
    <font>
      <sz val="9"/>
      <color rgb="FF44546A"/>
      <name val="Arial"/>
      <family val="2"/>
    </font>
    <font>
      <b/>
      <sz val="9"/>
      <name val="Arial"/>
      <family val="2"/>
      <charset val="1"/>
    </font>
    <font>
      <b/>
      <sz val="10"/>
      <color rgb="FF000000"/>
      <name val="현대하모니 L"/>
      <family val="3"/>
      <charset val="129"/>
    </font>
    <font>
      <b/>
      <sz val="10"/>
      <name val="맑은 고딕"/>
      <family val="3"/>
      <charset val="129"/>
    </font>
    <font>
      <sz val="10"/>
      <color rgb="FF000000"/>
      <name val="돋움"/>
      <family val="3"/>
    </font>
    <font>
      <b/>
      <sz val="15"/>
      <color theme="3"/>
      <name val="Calibri"/>
      <family val="2"/>
      <charset val="129"/>
      <scheme val="minor"/>
    </font>
    <font>
      <i/>
      <sz val="11"/>
      <color rgb="FF7F7F7F"/>
      <name val="Calibri"/>
      <family val="2"/>
      <charset val="129"/>
      <scheme val="minor"/>
    </font>
  </fonts>
  <fills count="17">
    <fill>
      <patternFill patternType="none"/>
    </fill>
    <fill>
      <patternFill patternType="gray125"/>
    </fill>
    <fill>
      <patternFill patternType="solid">
        <fgColor theme="0"/>
      </patternFill>
    </fill>
    <fill>
      <patternFill patternType="solid">
        <fgColor rgb="FFFFF2CC"/>
      </patternFill>
    </fill>
    <fill>
      <patternFill patternType="solid">
        <fgColor rgb="FFFFFFFF"/>
      </patternFill>
    </fill>
    <fill>
      <patternFill patternType="solid">
        <fgColor rgb="FFFFF2CC"/>
      </patternFill>
    </fill>
    <fill>
      <patternFill patternType="none"/>
    </fill>
    <fill>
      <patternFill patternType="solid">
        <fgColor rgb="FFD9D9D9"/>
        <bgColor rgb="FFDAE3F3"/>
      </patternFill>
    </fill>
    <fill>
      <patternFill patternType="solid">
        <fgColor rgb="FFC5E0B4"/>
        <bgColor rgb="FFD9D9D9"/>
      </patternFill>
    </fill>
    <fill>
      <patternFill patternType="solid">
        <fgColor rgb="FFF2F2F2"/>
        <bgColor rgb="FFFFFFFF"/>
      </patternFill>
    </fill>
    <fill>
      <patternFill patternType="solid">
        <fgColor rgb="FFFFFFFF"/>
        <bgColor rgb="FFF2F2F2"/>
      </patternFill>
    </fill>
    <fill>
      <patternFill patternType="solid">
        <fgColor rgb="FF92D050"/>
        <bgColor rgb="FFC5E0B4"/>
      </patternFill>
    </fill>
    <fill>
      <patternFill patternType="solid">
        <fgColor rgb="FFDAE3F3"/>
        <bgColor rgb="FFD9D9D9"/>
      </patternFill>
    </fill>
    <fill>
      <patternFill patternType="solid">
        <fgColor rgb="FFFFF2CC"/>
        <bgColor rgb="FFF2F2F2"/>
      </patternFill>
    </fill>
    <fill>
      <patternFill patternType="solid">
        <fgColor rgb="FFF4B183"/>
        <bgColor rgb="FFFF99CC"/>
      </patternFill>
    </fill>
    <fill>
      <patternFill patternType="solid">
        <fgColor theme="4" tint="0.39997558519241921"/>
        <bgColor indexed="65"/>
      </patternFill>
    </fill>
    <fill>
      <patternFill patternType="solid">
        <fgColor theme="6" tint="0.79998168889431442"/>
        <bgColor indexed="65"/>
      </patternFill>
    </fill>
  </fills>
  <borders count="48">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left/>
      <right/>
      <top/>
      <bottom style="thin">
        <color indexed="64"/>
      </bottom>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left/>
      <right/>
      <top/>
      <bottom/>
      <diagonal/>
    </border>
    <border>
      <left/>
      <right/>
      <top/>
      <bottom style="medium">
        <color auto="1"/>
      </bottom>
      <diagonal/>
    </border>
    <border>
      <left/>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ck">
        <color theme="4"/>
      </bottom>
      <diagonal/>
    </border>
  </borders>
  <cellStyleXfs count="140">
    <xf numFmtId="0" fontId="0" fillId="0" borderId="0"/>
    <xf numFmtId="9" fontId="33" fillId="0" borderId="0" applyFont="0" applyFill="0" applyBorder="0" applyAlignment="0" applyProtection="0"/>
    <xf numFmtId="0" fontId="42" fillId="0" borderId="0"/>
    <xf numFmtId="41" fontId="44" fillId="0" borderId="0" applyFont="0" applyFill="0" applyBorder="0" applyAlignment="0" applyProtection="0">
      <alignment vertical="center"/>
    </xf>
    <xf numFmtId="181" fontId="42" fillId="0" borderId="0" applyFont="0" applyFill="0" applyBorder="0" applyAlignment="0" applyProtection="0"/>
    <xf numFmtId="9" fontId="42" fillId="0" borderId="0" applyFont="0" applyFill="0" applyBorder="0" applyAlignment="0" applyProtection="0"/>
    <xf numFmtId="0" fontId="46" fillId="0" borderId="0">
      <alignment vertical="center"/>
    </xf>
    <xf numFmtId="0" fontId="42" fillId="0" borderId="0"/>
    <xf numFmtId="9" fontId="42" fillId="0" borderId="0" applyFont="0" applyFill="0" applyBorder="0" applyAlignment="0" applyProtection="0"/>
    <xf numFmtId="0" fontId="58" fillId="0" borderId="0"/>
    <xf numFmtId="41" fontId="59" fillId="0" borderId="0" applyFont="0" applyFill="0" applyBorder="0" applyAlignment="0" applyProtection="0">
      <alignment vertical="center"/>
    </xf>
    <xf numFmtId="183" fontId="33" fillId="0" borderId="0"/>
    <xf numFmtId="0" fontId="44" fillId="0" borderId="0">
      <alignment vertical="center"/>
    </xf>
    <xf numFmtId="43" fontId="59" fillId="0" borderId="0" applyFont="0" applyFill="0" applyBorder="0" applyAlignment="0" applyProtection="0">
      <alignment vertical="center"/>
    </xf>
    <xf numFmtId="41" fontId="60" fillId="0" borderId="0" applyFont="0" applyFill="0" applyBorder="0" applyAlignment="0" applyProtection="0">
      <alignment vertical="center"/>
    </xf>
    <xf numFmtId="183" fontId="33" fillId="0" borderId="0"/>
    <xf numFmtId="0" fontId="61" fillId="0" borderId="0">
      <alignment vertical="center"/>
    </xf>
    <xf numFmtId="185" fontId="33" fillId="0" borderId="0" applyFont="0" applyFill="0" applyBorder="0" applyAlignment="0" applyProtection="0"/>
    <xf numFmtId="0" fontId="33" fillId="0" borderId="0"/>
    <xf numFmtId="41" fontId="62" fillId="0" borderId="0" applyFont="0" applyFill="0" applyBorder="0" applyAlignment="0" applyProtection="0">
      <alignment vertical="center"/>
    </xf>
    <xf numFmtId="185" fontId="63" fillId="0" borderId="0">
      <alignment vertical="center"/>
    </xf>
    <xf numFmtId="185" fontId="61" fillId="0" borderId="0" applyFont="0" applyFill="0" applyBorder="0" applyAlignment="0" applyProtection="0">
      <alignment vertical="center"/>
    </xf>
    <xf numFmtId="0" fontId="32" fillId="0" borderId="0">
      <alignment vertical="center"/>
    </xf>
    <xf numFmtId="41" fontId="31" fillId="0" borderId="0" applyFont="0" applyFill="0" applyBorder="0" applyAlignment="0" applyProtection="0">
      <alignment vertical="center"/>
    </xf>
    <xf numFmtId="0" fontId="44" fillId="0" borderId="0"/>
    <xf numFmtId="41" fontId="44" fillId="0" borderId="0" applyFont="0" applyFill="0" applyBorder="0" applyAlignment="0" applyProtection="0">
      <alignment vertical="center"/>
    </xf>
    <xf numFmtId="41" fontId="30" fillId="0" borderId="0" applyFont="0" applyFill="0" applyBorder="0" applyAlignment="0" applyProtection="0">
      <alignment vertical="center"/>
    </xf>
    <xf numFmtId="0" fontId="64" fillId="0" borderId="0">
      <alignment vertical="center"/>
    </xf>
    <xf numFmtId="0" fontId="64" fillId="0" borderId="0">
      <alignment vertical="center"/>
    </xf>
    <xf numFmtId="0" fontId="29" fillId="0" borderId="0">
      <alignment vertical="center"/>
    </xf>
    <xf numFmtId="0" fontId="64" fillId="0" borderId="0">
      <alignment vertical="center"/>
    </xf>
    <xf numFmtId="41" fontId="64" fillId="0" borderId="0" applyFont="0" applyFill="0" applyBorder="0" applyAlignment="0" applyProtection="0">
      <alignment vertical="center"/>
    </xf>
    <xf numFmtId="41" fontId="29" fillId="0" borderId="0" applyFont="0" applyFill="0" applyBorder="0" applyAlignment="0" applyProtection="0">
      <alignment vertical="center"/>
    </xf>
    <xf numFmtId="0" fontId="29" fillId="0" borderId="0">
      <alignment vertical="center"/>
    </xf>
    <xf numFmtId="189" fontId="33" fillId="0" borderId="0" applyFont="0" applyFill="0" applyBorder="0" applyAlignment="0" applyProtection="0"/>
    <xf numFmtId="0" fontId="28" fillId="0" borderId="0">
      <alignment vertical="center"/>
    </xf>
    <xf numFmtId="41" fontId="28" fillId="0" borderId="0" applyFont="0" applyFill="0" applyBorder="0" applyAlignment="0" applyProtection="0">
      <alignment vertical="center"/>
    </xf>
    <xf numFmtId="41" fontId="33"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6" fillId="0" borderId="0">
      <alignment vertical="center"/>
    </xf>
    <xf numFmtId="0" fontId="26" fillId="0" borderId="0">
      <alignment vertical="center"/>
    </xf>
    <xf numFmtId="41" fontId="26" fillId="0" borderId="0" applyFont="0" applyFill="0" applyBorder="0" applyAlignment="0" applyProtection="0">
      <alignment vertical="center"/>
    </xf>
    <xf numFmtId="0" fontId="44" fillId="0" borderId="0">
      <alignment vertical="center"/>
    </xf>
    <xf numFmtId="0" fontId="25" fillId="0" borderId="0">
      <alignment vertical="center"/>
    </xf>
    <xf numFmtId="0" fontId="25" fillId="0" borderId="0">
      <alignment vertical="center"/>
    </xf>
    <xf numFmtId="41" fontId="25" fillId="0" borderId="0" applyFont="0" applyFill="0" applyBorder="0" applyAlignment="0" applyProtection="0">
      <alignment vertical="center"/>
    </xf>
    <xf numFmtId="0" fontId="33" fillId="0" borderId="0"/>
    <xf numFmtId="0" fontId="25" fillId="0" borderId="0">
      <alignment vertical="center"/>
    </xf>
    <xf numFmtId="0" fontId="25" fillId="0" borderId="0">
      <alignment vertical="center"/>
    </xf>
    <xf numFmtId="0" fontId="25" fillId="0" borderId="0">
      <alignment vertical="center"/>
    </xf>
    <xf numFmtId="41" fontId="25" fillId="0" borderId="0" applyFont="0" applyFill="0" applyBorder="0" applyAlignment="0" applyProtection="0">
      <alignment vertical="center"/>
    </xf>
    <xf numFmtId="0" fontId="24" fillId="0" borderId="0">
      <alignment vertical="center"/>
    </xf>
    <xf numFmtId="0" fontId="23" fillId="0" borderId="0">
      <alignment vertical="center"/>
    </xf>
    <xf numFmtId="0" fontId="23" fillId="0" borderId="0">
      <alignment vertical="center"/>
    </xf>
    <xf numFmtId="0" fontId="23" fillId="0" borderId="0">
      <alignment vertical="center"/>
    </xf>
    <xf numFmtId="41" fontId="23" fillId="0" borderId="0" applyFont="0" applyFill="0" applyBorder="0" applyAlignment="0" applyProtection="0">
      <alignment vertical="center"/>
    </xf>
    <xf numFmtId="0" fontId="23" fillId="0" borderId="0">
      <alignment vertical="center"/>
    </xf>
    <xf numFmtId="41" fontId="23" fillId="0" borderId="0" applyFont="0" applyFill="0" applyBorder="0" applyAlignment="0" applyProtection="0">
      <alignment vertical="center"/>
    </xf>
    <xf numFmtId="0" fontId="22" fillId="0" borderId="0">
      <alignment vertical="center"/>
    </xf>
    <xf numFmtId="0" fontId="64" fillId="0" borderId="0">
      <alignment vertical="center"/>
    </xf>
    <xf numFmtId="0" fontId="64" fillId="0" borderId="0">
      <alignment vertical="center"/>
    </xf>
    <xf numFmtId="0" fontId="64" fillId="0" borderId="0">
      <alignment vertical="center"/>
    </xf>
    <xf numFmtId="0" fontId="21" fillId="0" borderId="0">
      <alignment vertical="center"/>
    </xf>
    <xf numFmtId="41" fontId="33" fillId="0" borderId="0" applyFont="0" applyFill="0" applyBorder="0" applyAlignment="0" applyProtection="0">
      <alignment vertical="center"/>
    </xf>
    <xf numFmtId="0" fontId="20" fillId="0" borderId="0">
      <alignment vertical="center"/>
    </xf>
    <xf numFmtId="0" fontId="44" fillId="0" borderId="0">
      <alignment vertical="center"/>
    </xf>
    <xf numFmtId="0" fontId="19" fillId="0" borderId="0">
      <alignment vertical="center"/>
    </xf>
    <xf numFmtId="0" fontId="18" fillId="0" borderId="0">
      <alignment vertical="center"/>
    </xf>
    <xf numFmtId="0" fontId="18" fillId="0" borderId="0">
      <alignment vertical="center"/>
    </xf>
    <xf numFmtId="0" fontId="18" fillId="0" borderId="0">
      <alignment vertical="center"/>
    </xf>
    <xf numFmtId="0" fontId="17" fillId="0" borderId="0">
      <alignment vertical="center"/>
    </xf>
    <xf numFmtId="41" fontId="17" fillId="0" borderId="0" applyFont="0" applyFill="0" applyBorder="0" applyAlignment="0" applyProtection="0">
      <alignment vertical="center"/>
    </xf>
    <xf numFmtId="0" fontId="64" fillId="0" borderId="0">
      <alignment vertical="center"/>
    </xf>
    <xf numFmtId="0" fontId="17" fillId="0" borderId="0">
      <alignment vertical="center"/>
    </xf>
    <xf numFmtId="0" fontId="16" fillId="0" borderId="0">
      <alignment vertical="center"/>
    </xf>
    <xf numFmtId="41" fontId="16" fillId="0" borderId="0" applyFont="0" applyFill="0" applyBorder="0" applyAlignment="0" applyProtection="0">
      <alignment vertical="center"/>
    </xf>
    <xf numFmtId="189" fontId="33" fillId="0" borderId="0" applyFont="0" applyFill="0" applyBorder="0" applyAlignment="0" applyProtection="0"/>
    <xf numFmtId="41" fontId="15" fillId="0" borderId="0" applyFont="0" applyFill="0" applyBorder="0" applyAlignment="0" applyProtection="0">
      <alignment vertical="center"/>
    </xf>
    <xf numFmtId="0" fontId="14" fillId="0" borderId="0">
      <alignment vertical="center"/>
    </xf>
    <xf numFmtId="0" fontId="13" fillId="0" borderId="0">
      <alignment vertical="center"/>
    </xf>
    <xf numFmtId="0" fontId="13" fillId="0" borderId="0">
      <alignment vertical="center"/>
    </xf>
    <xf numFmtId="41" fontId="13" fillId="0" borderId="0" applyFont="0" applyFill="0" applyBorder="0" applyAlignment="0" applyProtection="0">
      <alignment vertical="center"/>
    </xf>
    <xf numFmtId="0" fontId="13" fillId="0" borderId="0">
      <alignment vertical="center"/>
    </xf>
    <xf numFmtId="41" fontId="12" fillId="0" borderId="0" applyFont="0" applyFill="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0" fontId="11" fillId="0" borderId="0">
      <alignment vertical="center"/>
    </xf>
    <xf numFmtId="41" fontId="10" fillId="0" borderId="0" applyFont="0" applyFill="0" applyBorder="0" applyAlignment="0" applyProtection="0">
      <alignment vertical="center"/>
    </xf>
    <xf numFmtId="0" fontId="10"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4" fillId="0" borderId="0">
      <alignment vertical="center"/>
    </xf>
    <xf numFmtId="0" fontId="5" fillId="0" borderId="0">
      <alignment vertical="center"/>
    </xf>
    <xf numFmtId="0" fontId="5" fillId="0" borderId="0">
      <alignment vertical="center"/>
    </xf>
    <xf numFmtId="0" fontId="33" fillId="0" borderId="0">
      <alignment vertical="center"/>
    </xf>
    <xf numFmtId="0" fontId="33" fillId="0" borderId="0">
      <alignment vertical="center"/>
    </xf>
    <xf numFmtId="41" fontId="33"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191" fontId="65" fillId="0" borderId="0"/>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66" fillId="0" borderId="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1" fillId="16" borderId="0" applyNumberFormat="0" applyBorder="0" applyAlignment="0" applyProtection="0">
      <alignment vertical="center"/>
    </xf>
    <xf numFmtId="0" fontId="1" fillId="15" borderId="0" applyNumberFormat="0" applyBorder="0" applyAlignment="0" applyProtection="0">
      <alignment vertical="center"/>
    </xf>
    <xf numFmtId="0" fontId="99" fillId="0" borderId="0" applyNumberFormat="0" applyFill="0" applyBorder="0" applyAlignment="0" applyProtection="0">
      <alignment vertical="center"/>
    </xf>
    <xf numFmtId="0" fontId="98" fillId="0" borderId="47" applyNumberFormat="0" applyFill="0" applyAlignment="0" applyProtection="0">
      <alignment vertical="center"/>
    </xf>
    <xf numFmtId="0" fontId="69" fillId="0" borderId="0" xfId="0" applyFont="1"/>
    <xf numFmtId="0" fontId="0" fillId="0" borderId="0" xfId="0" applyAlignment="1">
      <alignment wrapText="1"/>
    </xf>
    <xf numFmtId="0" fontId="36" fillId="0" borderId="12" xfId="0" applyFont="1" applyBorder="1" applyAlignment="1">
      <alignment horizontal="center" vertical="center"/>
    </xf>
    <xf numFmtId="0" fontId="36" fillId="0" borderId="11" xfId="0" applyFont="1" applyBorder="1" applyAlignment="1">
      <alignment horizontal="center" vertical="center"/>
    </xf>
    <xf numFmtId="4" fontId="48" fillId="0" borderId="0" xfId="0" applyNumberFormat="1" applyFont="1" applyAlignment="1">
      <alignment vertical="center"/>
    </xf>
  </cellStyleXfs>
  <cellXfs count="322">
    <xf numFmtId="0" fontId="0" fillId="0" borderId="0" xfId="0"/>
    <xf numFmtId="0" fontId="78" fillId="7" borderId="37" xfId="137" applyFont="1" applyFill="1" applyBorder="1" applyAlignment="1">
      <alignment horizontal="center" vertical="center"/>
    </xf>
    <xf numFmtId="0" fontId="78" fillId="7" borderId="36" xfId="137" applyFont="1" applyFill="1" applyBorder="1" applyAlignment="1">
      <alignment horizontal="center" vertical="center"/>
    </xf>
    <xf numFmtId="0" fontId="78" fillId="7" borderId="35" xfId="137" applyFont="1" applyFill="1" applyBorder="1" applyAlignment="1">
      <alignment horizontal="center" vertical="center"/>
    </xf>
    <xf numFmtId="0" fontId="78" fillId="7" borderId="35" xfId="137" applyFont="1" applyFill="1" applyBorder="1" applyAlignment="1">
      <alignment horizontal="center" vertical="center" wrapText="1"/>
    </xf>
    <xf numFmtId="0" fontId="78" fillId="7" borderId="35" xfId="137" applyFont="1" applyFill="1" applyBorder="1" applyAlignment="1">
      <alignment horizontal="center"/>
    </xf>
    <xf numFmtId="193" fontId="50" fillId="0" borderId="0" xfId="0" applyNumberFormat="1" applyFont="1" applyAlignment="1">
      <alignment horizontal="left"/>
    </xf>
    <xf numFmtId="0" fontId="50" fillId="0" borderId="0" xfId="0" applyFont="1" applyAlignment="1">
      <alignment horizontal="left"/>
    </xf>
    <xf numFmtId="0" fontId="50" fillId="0" borderId="0" xfId="2" applyFont="1" applyAlignment="1">
      <alignment horizontal="left"/>
    </xf>
    <xf numFmtId="14" fontId="50" fillId="0" borderId="0" xfId="2" applyNumberFormat="1" applyFont="1" applyAlignment="1">
      <alignment horizontal="left"/>
    </xf>
    <xf numFmtId="0" fontId="42" fillId="0" borderId="0" xfId="2"/>
    <xf numFmtId="180" fontId="50" fillId="0" borderId="0" xfId="2" applyNumberFormat="1" applyFont="1" applyAlignment="1">
      <alignment horizontal="left"/>
    </xf>
    <xf numFmtId="0" fontId="34" fillId="0" borderId="0" xfId="0" applyFont="1" applyAlignment="1">
      <alignment horizontal="right"/>
    </xf>
    <xf numFmtId="0" fontId="51" fillId="0" borderId="0" xfId="0" applyFont="1" applyAlignment="1">
      <alignment wrapText="1"/>
    </xf>
    <xf numFmtId="0" fontId="52" fillId="0" borderId="0" xfId="0" applyFont="1" applyAlignment="1">
      <alignment wrapText="1"/>
    </xf>
    <xf numFmtId="0" fontId="45" fillId="0" borderId="0" xfId="0" applyFont="1" applyAlignment="1">
      <alignment wrapText="1"/>
    </xf>
    <xf numFmtId="0" fontId="51" fillId="0" borderId="0" xfId="2" applyFont="1"/>
    <xf numFmtId="0" fontId="52" fillId="0" borderId="0" xfId="2" applyFont="1"/>
    <xf numFmtId="0" fontId="45" fillId="0" borderId="0" xfId="2" applyFont="1"/>
    <xf numFmtId="0" fontId="45" fillId="0" borderId="0" xfId="0" applyFont="1" applyAlignment="1">
      <alignment horizontal="right"/>
    </xf>
    <xf numFmtId="0" fontId="70" fillId="0" borderId="0" xfId="0" applyFont="1"/>
    <xf numFmtId="0" fontId="42" fillId="0" borderId="0" xfId="0" applyFont="1"/>
    <xf numFmtId="4" fontId="37" fillId="0" borderId="7" xfId="0" applyNumberFormat="1" applyFont="1" applyBorder="1" applyAlignment="1">
      <alignment horizontal="right" vertical="center"/>
    </xf>
    <xf numFmtId="4" fontId="37" fillId="0" borderId="8" xfId="0" applyNumberFormat="1" applyFont="1" applyBorder="1" applyAlignment="1">
      <alignment horizontal="right" vertical="center"/>
    </xf>
    <xf numFmtId="4" fontId="37" fillId="0" borderId="6" xfId="0" applyNumberFormat="1" applyFont="1" applyBorder="1" applyAlignment="1">
      <alignment horizontal="right" vertical="center"/>
    </xf>
    <xf numFmtId="4" fontId="37" fillId="0" borderId="21" xfId="0" applyNumberFormat="1" applyFont="1" applyBorder="1" applyAlignment="1">
      <alignment horizontal="center" vertical="center"/>
    </xf>
    <xf numFmtId="4" fontId="37" fillId="0" borderId="20" xfId="0" applyNumberFormat="1" applyFont="1" applyBorder="1" applyAlignment="1">
      <alignment horizontal="center" vertical="center"/>
    </xf>
    <xf numFmtId="4" fontId="57" fillId="0" borderId="7" xfId="0" applyNumberFormat="1" applyFont="1" applyBorder="1" applyAlignment="1">
      <alignment horizontal="center" vertical="center"/>
    </xf>
    <xf numFmtId="4" fontId="57" fillId="0" borderId="8" xfId="0" applyNumberFormat="1" applyFont="1" applyBorder="1" applyAlignment="1">
      <alignment horizontal="center" vertical="center"/>
    </xf>
    <xf numFmtId="4" fontId="57" fillId="0" borderId="6" xfId="0" applyNumberFormat="1" applyFont="1" applyBorder="1" applyAlignment="1">
      <alignment horizontal="center" vertical="center"/>
    </xf>
    <xf numFmtId="4" fontId="57" fillId="0" borderId="28" xfId="0" applyNumberFormat="1" applyFont="1" applyBorder="1" applyAlignment="1">
      <alignment horizontal="center" vertical="center"/>
    </xf>
    <xf numFmtId="4" fontId="57" fillId="0" borderId="27" xfId="0" applyNumberFormat="1" applyFont="1" applyBorder="1" applyAlignment="1">
      <alignment horizontal="center" vertical="center"/>
    </xf>
    <xf numFmtId="4" fontId="57" fillId="0" borderId="25" xfId="0" applyNumberFormat="1" applyFont="1" applyBorder="1" applyAlignment="1">
      <alignment horizontal="center" vertical="center"/>
    </xf>
    <xf numFmtId="4" fontId="57" fillId="0" borderId="24" xfId="0" applyNumberFormat="1" applyFont="1" applyBorder="1" applyAlignment="1">
      <alignment horizontal="center" vertical="center"/>
    </xf>
    <xf numFmtId="4" fontId="57" fillId="0" borderId="21" xfId="0" applyNumberFormat="1" applyFont="1" applyBorder="1" applyAlignment="1">
      <alignment horizontal="center" vertical="center"/>
    </xf>
    <xf numFmtId="4" fontId="57" fillId="0" borderId="20" xfId="0" applyNumberFormat="1" applyFont="1" applyBorder="1" applyAlignment="1">
      <alignment horizontal="center" vertical="center"/>
    </xf>
    <xf numFmtId="4" fontId="67" fillId="3" borderId="19" xfId="0" applyNumberFormat="1" applyFont="1" applyFill="1" applyBorder="1" applyAlignment="1">
      <alignment horizontal="center" vertical="center"/>
    </xf>
    <xf numFmtId="4" fontId="37" fillId="0" borderId="28" xfId="0" applyNumberFormat="1" applyFont="1" applyBorder="1" applyAlignment="1">
      <alignment horizontal="center" vertical="center"/>
    </xf>
    <xf numFmtId="4" fontId="37" fillId="0" borderId="27" xfId="0" applyNumberFormat="1" applyFont="1" applyBorder="1" applyAlignment="1">
      <alignment horizontal="center" vertical="center"/>
    </xf>
    <xf numFmtId="4" fontId="67" fillId="3" borderId="26" xfId="0" applyNumberFormat="1" applyFont="1" applyFill="1" applyBorder="1" applyAlignment="1">
      <alignment horizontal="center" vertical="center"/>
    </xf>
    <xf numFmtId="4" fontId="37" fillId="0" borderId="25" xfId="0" applyNumberFormat="1" applyFont="1" applyBorder="1" applyAlignment="1">
      <alignment horizontal="center" vertical="center"/>
    </xf>
    <xf numFmtId="4" fontId="37" fillId="0" borderId="24" xfId="0" applyNumberFormat="1" applyFont="1" applyBorder="1" applyAlignment="1">
      <alignment horizontal="center" vertical="center"/>
    </xf>
    <xf numFmtId="4" fontId="67" fillId="3" borderId="23" xfId="0" applyNumberFormat="1" applyFont="1" applyFill="1" applyBorder="1" applyAlignment="1">
      <alignment horizontal="center" vertical="center"/>
    </xf>
    <xf numFmtId="4" fontId="37" fillId="0" borderId="15" xfId="0" applyNumberFormat="1" applyFont="1" applyBorder="1" applyAlignment="1">
      <alignment horizontal="right" vertical="center"/>
    </xf>
    <xf numFmtId="4" fontId="40" fillId="0" borderId="25" xfId="0" applyNumberFormat="1" applyFont="1" applyBorder="1" applyAlignment="1">
      <alignment horizontal="center" vertical="center"/>
    </xf>
    <xf numFmtId="4" fontId="40" fillId="0" borderId="23" xfId="0" applyNumberFormat="1" applyFont="1" applyBorder="1" applyAlignment="1">
      <alignment horizontal="center" vertical="center"/>
    </xf>
    <xf numFmtId="4" fontId="40" fillId="0" borderId="21" xfId="0" applyNumberFormat="1" applyFont="1" applyBorder="1" applyAlignment="1">
      <alignment horizontal="center" vertical="center"/>
    </xf>
    <xf numFmtId="4" fontId="40" fillId="0" borderId="19" xfId="0" applyNumberFormat="1" applyFont="1" applyBorder="1" applyAlignment="1">
      <alignment horizontal="center" vertical="center"/>
    </xf>
    <xf numFmtId="4" fontId="40" fillId="0" borderId="7" xfId="0" applyNumberFormat="1" applyFont="1" applyBorder="1" applyAlignment="1">
      <alignment horizontal="center" vertical="center"/>
    </xf>
    <xf numFmtId="4" fontId="40" fillId="0" borderId="6" xfId="0" applyNumberFormat="1" applyFont="1" applyBorder="1" applyAlignment="1">
      <alignment horizontal="center" vertical="center"/>
    </xf>
    <xf numFmtId="184" fontId="40" fillId="0" borderId="25" xfId="1" applyNumberFormat="1" applyFont="1" applyBorder="1" applyAlignment="1">
      <alignment horizontal="center" vertical="center"/>
    </xf>
    <xf numFmtId="184" fontId="40" fillId="0" borderId="23" xfId="1" applyNumberFormat="1" applyFont="1" applyBorder="1" applyAlignment="1">
      <alignment horizontal="center" vertical="center"/>
    </xf>
    <xf numFmtId="184" fontId="40" fillId="0" borderId="21" xfId="1" applyNumberFormat="1" applyFont="1" applyBorder="1" applyAlignment="1">
      <alignment horizontal="center" vertical="center"/>
    </xf>
    <xf numFmtId="184" fontId="40" fillId="0" borderId="19" xfId="1" applyNumberFormat="1" applyFont="1" applyBorder="1" applyAlignment="1">
      <alignment horizontal="center" vertical="center"/>
    </xf>
    <xf numFmtId="9" fontId="40" fillId="0" borderId="7" xfId="1" applyFont="1" applyBorder="1" applyAlignment="1">
      <alignment horizontal="center" vertical="center"/>
    </xf>
    <xf numFmtId="9" fontId="40" fillId="0" borderId="6" xfId="1" applyFont="1" applyBorder="1" applyAlignment="1">
      <alignment horizontal="center" vertical="center"/>
    </xf>
    <xf numFmtId="4" fontId="37" fillId="0" borderId="17" xfId="0" applyNumberFormat="1" applyFont="1" applyBorder="1" applyAlignment="1">
      <alignment horizontal="right" vertical="center"/>
    </xf>
    <xf numFmtId="4" fontId="37" fillId="0" borderId="16" xfId="0" applyNumberFormat="1" applyFont="1" applyBorder="1" applyAlignment="1">
      <alignment horizontal="right" vertical="center"/>
    </xf>
    <xf numFmtId="4" fontId="67" fillId="3" borderId="15" xfId="0" applyNumberFormat="1" applyFont="1" applyFill="1" applyBorder="1" applyAlignment="1">
      <alignment horizontal="right" vertical="center"/>
    </xf>
    <xf numFmtId="0" fontId="40" fillId="0" borderId="7" xfId="0" applyFont="1" applyBorder="1" applyAlignment="1">
      <alignment horizontal="left" vertical="center" wrapText="1"/>
    </xf>
    <xf numFmtId="0" fontId="40" fillId="0" borderId="8" xfId="0" applyFont="1" applyBorder="1" applyAlignment="1">
      <alignment horizontal="left" vertical="center" wrapText="1"/>
    </xf>
    <xf numFmtId="0" fontId="40" fillId="0" borderId="6" xfId="0" applyFont="1" applyBorder="1" applyAlignment="1">
      <alignment horizontal="left" vertical="center" wrapText="1"/>
    </xf>
    <xf numFmtId="0" fontId="40" fillId="0" borderId="6" xfId="0" applyFont="1" applyBorder="1" applyAlignment="1">
      <alignment horizontal="center" vertical="center"/>
    </xf>
    <xf numFmtId="0" fontId="34" fillId="0" borderId="10" xfId="0" applyFont="1" applyBorder="1" applyAlignment="1">
      <alignment horizontal="right"/>
    </xf>
    <xf numFmtId="0" fontId="36" fillId="0" borderId="9" xfId="0" applyFont="1" applyBorder="1" applyAlignment="1">
      <alignment horizontal="center" vertical="center"/>
    </xf>
    <xf numFmtId="0" fontId="36" fillId="0" borderId="5" xfId="0" applyFont="1" applyBorder="1" applyAlignment="1">
      <alignment horizontal="center" vertical="center"/>
    </xf>
    <xf numFmtId="0" fontId="36" fillId="0" borderId="2" xfId="0" applyFont="1" applyBorder="1" applyAlignment="1">
      <alignment horizontal="center" vertical="center"/>
    </xf>
    <xf numFmtId="4" fontId="40" fillId="0" borderId="28" xfId="0" applyNumberFormat="1" applyFont="1" applyBorder="1" applyAlignment="1">
      <alignment horizontal="center" vertical="center"/>
    </xf>
    <xf numFmtId="4" fontId="40" fillId="0" borderId="26" xfId="0" applyNumberFormat="1" applyFont="1" applyBorder="1" applyAlignment="1">
      <alignment horizontal="center" vertical="center"/>
    </xf>
    <xf numFmtId="179" fontId="38" fillId="5" borderId="6" xfId="0" applyNumberFormat="1" applyFont="1" applyFill="1" applyBorder="1" applyAlignment="1">
      <alignment horizontal="center" vertical="center"/>
    </xf>
    <xf numFmtId="179" fontId="40" fillId="0" borderId="7" xfId="0" applyNumberFormat="1" applyFont="1" applyBorder="1" applyAlignment="1">
      <alignment horizontal="center" vertical="center"/>
    </xf>
    <xf numFmtId="179" fontId="40" fillId="0" borderId="8" xfId="0" applyNumberFormat="1" applyFont="1" applyBorder="1" applyAlignment="1">
      <alignment horizontal="center" vertical="center"/>
    </xf>
    <xf numFmtId="179" fontId="40" fillId="0" borderId="6" xfId="0" applyNumberFormat="1" applyFont="1" applyBorder="1" applyAlignment="1">
      <alignment horizontal="center" vertical="center"/>
    </xf>
    <xf numFmtId="0" fontId="40" fillId="2" borderId="7" xfId="0" applyFont="1" applyFill="1" applyBorder="1" applyAlignment="1">
      <alignment horizontal="center" vertical="center"/>
    </xf>
    <xf numFmtId="0" fontId="40" fillId="2" borderId="8" xfId="0" applyFont="1" applyFill="1" applyBorder="1" applyAlignment="1">
      <alignment horizontal="center" vertical="center"/>
    </xf>
    <xf numFmtId="0" fontId="34" fillId="0" borderId="7" xfId="0" applyFont="1" applyBorder="1" applyAlignment="1">
      <alignment horizontal="left" vertical="center"/>
    </xf>
    <xf numFmtId="0" fontId="34" fillId="0" borderId="6" xfId="0" applyFont="1" applyBorder="1" applyAlignment="1">
      <alignment horizontal="left" vertical="center"/>
    </xf>
    <xf numFmtId="0" fontId="40" fillId="0" borderId="7" xfId="0" applyFont="1" applyBorder="1" applyAlignment="1">
      <alignment horizontal="center" vertical="center"/>
    </xf>
    <xf numFmtId="0" fontId="40" fillId="0" borderId="8" xfId="0" applyFont="1" applyBorder="1" applyAlignment="1">
      <alignment horizontal="center" vertical="center"/>
    </xf>
    <xf numFmtId="0" fontId="38" fillId="5" borderId="6" xfId="0" applyFont="1" applyFill="1" applyBorder="1" applyAlignment="1">
      <alignment horizontal="center" vertical="center"/>
    </xf>
    <xf numFmtId="176" fontId="38" fillId="0" borderId="7" xfId="0" applyNumberFormat="1" applyFont="1" applyBorder="1" applyAlignment="1">
      <alignment horizontal="center" vertical="center"/>
    </xf>
    <xf numFmtId="176" fontId="38" fillId="5" borderId="6" xfId="0" applyNumberFormat="1" applyFont="1" applyFill="1" applyBorder="1" applyAlignment="1">
      <alignment horizontal="center" vertical="center"/>
    </xf>
    <xf numFmtId="0" fontId="38" fillId="2" borderId="7" xfId="0" applyFont="1" applyFill="1" applyBorder="1" applyAlignment="1">
      <alignment horizontal="center" vertical="center"/>
    </xf>
    <xf numFmtId="178" fontId="38" fillId="2" borderId="6" xfId="0" applyNumberFormat="1" applyFont="1" applyFill="1" applyBorder="1" applyAlignment="1">
      <alignment horizontal="center" vertical="center"/>
    </xf>
    <xf numFmtId="0" fontId="36" fillId="0" borderId="5" xfId="0" applyFont="1" applyBorder="1" applyAlignment="1">
      <alignment horizontal="center" vertical="center" wrapText="1"/>
    </xf>
    <xf numFmtId="0" fontId="36" fillId="0" borderId="4" xfId="0" applyFont="1" applyBorder="1" applyAlignment="1">
      <alignment horizontal="center" vertical="center" wrapText="1"/>
    </xf>
    <xf numFmtId="0" fontId="36" fillId="0" borderId="2" xfId="0" applyFont="1" applyBorder="1" applyAlignment="1">
      <alignment horizontal="center" vertical="center" wrapText="1"/>
    </xf>
    <xf numFmtId="9" fontId="68" fillId="0" borderId="1" xfId="0" applyNumberFormat="1" applyFont="1" applyBorder="1" applyAlignment="1">
      <alignment horizontal="center" vertical="center"/>
    </xf>
    <xf numFmtId="9" fontId="68" fillId="0" borderId="0" xfId="0" applyNumberFormat="1" applyFont="1" applyAlignment="1">
      <alignment horizontal="center" vertical="center"/>
    </xf>
    <xf numFmtId="0" fontId="42" fillId="0" borderId="0" xfId="0" applyFont="1" applyAlignment="1">
      <alignment vertical="center"/>
    </xf>
    <xf numFmtId="0" fontId="48" fillId="0" borderId="0" xfId="0" applyFont="1" applyAlignment="1">
      <alignment vertical="center"/>
    </xf>
    <xf numFmtId="0" fontId="45" fillId="0" borderId="0" xfId="0" applyFont="1" applyAlignment="1">
      <alignment vertical="center"/>
    </xf>
    <xf numFmtId="0" fontId="71" fillId="0" borderId="0" xfId="0" applyFont="1"/>
    <xf numFmtId="0" fontId="42" fillId="0" borderId="0" xfId="0" applyFont="1" applyAlignment="1">
      <alignment vertical="center" wrapText="1"/>
    </xf>
    <xf numFmtId="0" fontId="34" fillId="0" borderId="0" xfId="0" applyFont="1"/>
    <xf numFmtId="0" fontId="37" fillId="0" borderId="3" xfId="0" applyFont="1" applyBorder="1" applyAlignment="1">
      <alignment horizontal="center" vertical="center"/>
    </xf>
    <xf numFmtId="0" fontId="34" fillId="0" borderId="3" xfId="0" applyFont="1" applyBorder="1"/>
    <xf numFmtId="0" fontId="34" fillId="0" borderId="0" xfId="0" applyFont="1" applyAlignment="1">
      <alignment vertical="center"/>
    </xf>
    <xf numFmtId="0" fontId="34" fillId="0" borderId="3" xfId="0" applyFont="1" applyBorder="1" applyAlignment="1">
      <alignment horizontal="center"/>
    </xf>
    <xf numFmtId="0" fontId="34" fillId="0" borderId="3" xfId="0" applyFont="1" applyBorder="1" applyAlignment="1">
      <alignment horizontal="center" vertical="center"/>
    </xf>
    <xf numFmtId="177" fontId="34" fillId="0" borderId="4" xfId="0" applyNumberFormat="1" applyFont="1" applyBorder="1" applyAlignment="1">
      <alignment vertical="center"/>
    </xf>
    <xf numFmtId="0" fontId="36" fillId="0" borderId="3" xfId="0" applyFont="1" applyBorder="1" applyAlignment="1">
      <alignment horizontal="center" vertical="center"/>
    </xf>
    <xf numFmtId="0" fontId="34" fillId="0" borderId="0" xfId="0" applyFont="1" applyAlignment="1">
      <alignment horizontal="center"/>
    </xf>
    <xf numFmtId="0" fontId="39" fillId="0" borderId="2" xfId="0" applyFont="1" applyBorder="1" applyAlignment="1">
      <alignment horizontal="center" vertical="center"/>
    </xf>
    <xf numFmtId="0" fontId="34" fillId="0" borderId="3" xfId="0" applyFont="1" applyBorder="1" applyAlignment="1">
      <alignment vertical="center"/>
    </xf>
    <xf numFmtId="0" fontId="34" fillId="0" borderId="1" xfId="0" applyFont="1" applyBorder="1" applyAlignment="1">
      <alignment vertical="center"/>
    </xf>
    <xf numFmtId="0" fontId="39" fillId="0" borderId="4" xfId="0" applyFont="1" applyBorder="1" applyAlignment="1">
      <alignment horizontal="center" vertical="center"/>
    </xf>
    <xf numFmtId="0" fontId="39" fillId="0" borderId="5" xfId="0" applyFont="1" applyBorder="1" applyAlignment="1">
      <alignment horizontal="center" vertical="center"/>
    </xf>
    <xf numFmtId="0" fontId="34" fillId="0" borderId="1" xfId="0" applyFont="1" applyBorder="1" applyAlignment="1">
      <alignment horizontal="center" vertical="center"/>
    </xf>
    <xf numFmtId="0" fontId="34" fillId="0" borderId="8" xfId="0" applyFont="1" applyBorder="1" applyAlignment="1">
      <alignment horizontal="center" vertical="center"/>
    </xf>
    <xf numFmtId="0" fontId="34" fillId="0" borderId="8" xfId="0" applyFont="1" applyBorder="1" applyAlignment="1">
      <alignment vertical="center"/>
    </xf>
    <xf numFmtId="0" fontId="34" fillId="0" borderId="10" xfId="0" applyFont="1" applyBorder="1" applyAlignment="1">
      <alignment vertical="center"/>
    </xf>
    <xf numFmtId="0" fontId="40" fillId="0" borderId="3" xfId="0" applyFont="1" applyBorder="1" applyAlignment="1">
      <alignment horizontal="center" vertical="center"/>
    </xf>
    <xf numFmtId="0" fontId="34" fillId="0" borderId="13" xfId="0" applyFont="1" applyBorder="1" applyAlignment="1">
      <alignment horizontal="left" vertical="center"/>
    </xf>
    <xf numFmtId="0" fontId="34" fillId="0" borderId="14" xfId="0" applyFont="1" applyBorder="1" applyAlignment="1">
      <alignment horizontal="center" vertical="center"/>
    </xf>
    <xf numFmtId="0" fontId="41" fillId="0" borderId="14" xfId="0" applyFont="1" applyBorder="1" applyAlignment="1">
      <alignment horizontal="center" vertical="center"/>
    </xf>
    <xf numFmtId="0" fontId="34" fillId="0" borderId="2" xfId="0" applyFont="1" applyBorder="1" applyAlignment="1">
      <alignment horizontal="left" vertical="center"/>
    </xf>
    <xf numFmtId="0" fontId="41" fillId="0" borderId="18" xfId="0" applyFont="1" applyBorder="1" applyAlignment="1">
      <alignment horizontal="center" vertical="center"/>
    </xf>
    <xf numFmtId="0" fontId="34" fillId="0" borderId="4" xfId="0" applyFont="1" applyBorder="1" applyAlignment="1">
      <alignment horizontal="left" vertical="center"/>
    </xf>
    <xf numFmtId="0" fontId="34" fillId="0" borderId="22" xfId="0" applyFont="1" applyBorder="1" applyAlignment="1">
      <alignment horizontal="left" vertical="center"/>
    </xf>
    <xf numFmtId="0" fontId="41" fillId="0" borderId="22" xfId="0" applyFont="1" applyBorder="1" applyAlignment="1">
      <alignment horizontal="center" vertical="center"/>
    </xf>
    <xf numFmtId="0" fontId="34" fillId="0" borderId="5" xfId="0" applyFont="1" applyBorder="1" applyAlignment="1">
      <alignment horizontal="left" vertical="center"/>
    </xf>
    <xf numFmtId="0" fontId="41" fillId="0" borderId="5" xfId="0" applyFont="1" applyBorder="1" applyAlignment="1">
      <alignment horizontal="center" vertical="center"/>
    </xf>
    <xf numFmtId="0" fontId="34" fillId="0" borderId="0" xfId="0" applyFont="1" applyAlignment="1">
      <alignment horizontal="center" vertical="center"/>
    </xf>
    <xf numFmtId="0" fontId="34" fillId="0" borderId="29" xfId="0" applyFont="1" applyBorder="1" applyAlignment="1">
      <alignment horizontal="left" vertical="center"/>
    </xf>
    <xf numFmtId="0" fontId="34" fillId="0" borderId="7" xfId="0" applyFont="1" applyBorder="1" applyAlignment="1">
      <alignment horizontal="left" vertical="center"/>
    </xf>
    <xf numFmtId="0" fontId="41" fillId="0" borderId="7" xfId="0" applyFont="1" applyBorder="1" applyAlignment="1">
      <alignment horizontal="center" vertical="center"/>
    </xf>
    <xf numFmtId="0" fontId="34" fillId="0" borderId="6" xfId="0" applyFont="1" applyBorder="1" applyAlignment="1">
      <alignment horizontal="left" vertical="center"/>
    </xf>
    <xf numFmtId="9" fontId="41" fillId="0" borderId="7" xfId="0" applyNumberFormat="1" applyFont="1" applyBorder="1" applyAlignment="1">
      <alignment horizontal="center" vertical="center"/>
    </xf>
    <xf numFmtId="0" fontId="41" fillId="0" borderId="2" xfId="0" applyFont="1" applyBorder="1" applyAlignment="1">
      <alignment horizontal="center" vertical="center"/>
    </xf>
    <xf numFmtId="0" fontId="34" fillId="0" borderId="18" xfId="0" applyFont="1" applyBorder="1" applyAlignment="1">
      <alignment horizontal="left" vertical="center"/>
    </xf>
    <xf numFmtId="0" fontId="43" fillId="0" borderId="30" xfId="2" applyFont="1" applyBorder="1"/>
    <xf numFmtId="0" fontId="42" fillId="0" borderId="30" xfId="2" applyBorder="1"/>
    <xf numFmtId="0" fontId="42" fillId="0" borderId="0" xfId="2"/>
    <xf numFmtId="0" fontId="42" fillId="0" borderId="0" xfId="2" applyAlignment="1">
      <alignment horizontal="center"/>
    </xf>
    <xf numFmtId="0" fontId="42" fillId="0" borderId="0" xfId="2" applyAlignment="1">
      <alignment horizontal="right"/>
    </xf>
    <xf numFmtId="0" fontId="42" fillId="0" borderId="0" xfId="2" applyAlignment="1">
      <alignment horizontal="left"/>
    </xf>
    <xf numFmtId="0" fontId="45" fillId="0" borderId="0" xfId="2" applyFont="1"/>
    <xf numFmtId="0" fontId="49" fillId="0" borderId="0" xfId="2" applyFont="1"/>
    <xf numFmtId="0" fontId="43" fillId="0" borderId="0" xfId="2" applyFont="1"/>
    <xf numFmtId="0" fontId="51" fillId="0" borderId="0" xfId="2" applyFont="1" applyAlignment="1">
      <alignment horizontal="left"/>
    </xf>
    <xf numFmtId="0" fontId="51" fillId="0" borderId="0" xfId="2" applyFont="1"/>
    <xf numFmtId="0" fontId="52" fillId="0" borderId="0" xfId="2" applyFont="1"/>
    <xf numFmtId="0" fontId="53" fillId="0" borderId="0" xfId="2" applyFont="1" applyAlignment="1">
      <alignment horizontal="left"/>
    </xf>
    <xf numFmtId="0" fontId="45" fillId="0" borderId="0" xfId="2" applyFont="1" applyAlignment="1">
      <alignment horizontal="left"/>
    </xf>
    <xf numFmtId="181" fontId="54" fillId="0" borderId="0" xfId="4" applyFont="1" applyBorder="1"/>
    <xf numFmtId="181" fontId="54" fillId="0" borderId="0" xfId="4" applyFont="1"/>
    <xf numFmtId="0" fontId="42" fillId="0" borderId="10" xfId="2" applyBorder="1" applyAlignment="1">
      <alignment horizontal="left"/>
    </xf>
    <xf numFmtId="0" fontId="42" fillId="0" borderId="10" xfId="2" applyBorder="1"/>
    <xf numFmtId="14" fontId="45" fillId="0" borderId="10" xfId="2" applyNumberFormat="1" applyFont="1" applyBorder="1" applyAlignment="1">
      <alignment horizontal="left"/>
    </xf>
    <xf numFmtId="181" fontId="55" fillId="0" borderId="3" xfId="4" applyFont="1" applyBorder="1"/>
    <xf numFmtId="0" fontId="56" fillId="0" borderId="0" xfId="2" applyFont="1"/>
    <xf numFmtId="4" fontId="37" fillId="0" borderId="2" xfId="0" applyNumberFormat="1" applyFont="1" applyBorder="1" applyAlignment="1">
      <alignment vertical="center"/>
    </xf>
    <xf numFmtId="4" fontId="37" fillId="0" borderId="22" xfId="0" applyNumberFormat="1" applyFont="1" applyBorder="1" applyAlignment="1">
      <alignment vertical="center"/>
    </xf>
    <xf numFmtId="4" fontId="37" fillId="0" borderId="5" xfId="0" applyNumberFormat="1" applyFont="1" applyBorder="1" applyAlignment="1">
      <alignment vertical="center"/>
    </xf>
    <xf numFmtId="4" fontId="37" fillId="0" borderId="3" xfId="0" applyNumberFormat="1" applyFont="1" applyBorder="1" applyAlignment="1">
      <alignment vertical="center"/>
    </xf>
    <xf numFmtId="4" fontId="37" fillId="0" borderId="18" xfId="0" applyNumberFormat="1" applyFont="1" applyBorder="1" applyAlignment="1">
      <alignment vertical="center"/>
    </xf>
    <xf numFmtId="44" fontId="42" fillId="0" borderId="0" xfId="2" applyNumberFormat="1"/>
    <xf numFmtId="0" fontId="34" fillId="0" borderId="31" xfId="0" applyFont="1" applyBorder="1"/>
    <xf numFmtId="0" fontId="40" fillId="0" borderId="3" xfId="0" applyFont="1" applyBorder="1" applyAlignment="1">
      <alignment horizontal="left" vertical="center" wrapText="1"/>
    </xf>
    <xf numFmtId="0" fontId="42" fillId="0" borderId="0" xfId="0" applyFont="1" applyAlignment="1">
      <alignment vertical="center"/>
    </xf>
    <xf numFmtId="4" fontId="67" fillId="3" borderId="2" xfId="0" applyNumberFormat="1" applyFont="1" applyFill="1" applyBorder="1" applyAlignment="1">
      <alignment vertical="center"/>
    </xf>
    <xf numFmtId="4" fontId="67" fillId="3" borderId="22" xfId="0" applyNumberFormat="1" applyFont="1" applyFill="1" applyBorder="1" applyAlignment="1">
      <alignment vertical="center"/>
    </xf>
    <xf numFmtId="4" fontId="67" fillId="3" borderId="5" xfId="0" applyNumberFormat="1" applyFont="1" applyFill="1" applyBorder="1" applyAlignment="1">
      <alignment vertical="center"/>
    </xf>
    <xf numFmtId="4" fontId="67" fillId="3" borderId="3" xfId="0" applyNumberFormat="1" applyFont="1" applyFill="1" applyBorder="1" applyAlignment="1">
      <alignment vertical="center"/>
    </xf>
    <xf numFmtId="4" fontId="67" fillId="3" borderId="18" xfId="0" applyNumberFormat="1" applyFont="1" applyFill="1" applyBorder="1" applyAlignment="1">
      <alignment vertical="center"/>
    </xf>
    <xf numFmtId="181" fontId="42" fillId="4" borderId="0" xfId="0" applyNumberFormat="1" applyFont="1" applyFill="1"/>
    <xf numFmtId="181" fontId="48" fillId="4" borderId="0" xfId="0" applyNumberFormat="1" applyFont="1" applyFill="1"/>
    <xf numFmtId="0" fontId="38" fillId="5" borderId="6" xfId="0" applyFont="1" applyFill="1" applyBorder="1" applyAlignment="1">
      <alignment horizontal="center" vertical="center"/>
    </xf>
    <xf numFmtId="0" fontId="47" fillId="5" borderId="0" xfId="0" applyFont="1" applyFill="1" applyAlignment="1">
      <alignment horizontal="right"/>
    </xf>
    <xf numFmtId="193" fontId="38" fillId="5" borderId="3" xfId="0" applyNumberFormat="1" applyFont="1" applyFill="1" applyBorder="1" applyAlignment="1">
      <alignment horizontal="center" vertical="center"/>
    </xf>
    <xf numFmtId="14" fontId="38" fillId="5" borderId="7" xfId="0" applyNumberFormat="1" applyFont="1" applyFill="1" applyBorder="1" applyAlignment="1">
      <alignment horizontal="center" vertical="center"/>
    </xf>
    <xf numFmtId="184" fontId="47" fillId="5" borderId="7" xfId="0" applyNumberFormat="1" applyFont="1" applyFill="1" applyBorder="1" applyAlignment="1">
      <alignment horizontal="left" vertical="center"/>
    </xf>
    <xf numFmtId="0" fontId="48" fillId="0" borderId="0" xfId="0" applyFont="1" applyAlignment="1">
      <alignment vertical="center"/>
    </xf>
    <xf numFmtId="0" fontId="73" fillId="6" borderId="32" xfId="137"/>
    <xf numFmtId="0" fontId="73" fillId="6" borderId="32" xfId="137" applyAlignment="1">
      <alignment horizontal="center"/>
    </xf>
    <xf numFmtId="0" fontId="74" fillId="6" borderId="33" xfId="137" applyFont="1" applyBorder="1"/>
    <xf numFmtId="0" fontId="73" fillId="6" borderId="33" xfId="137" applyBorder="1"/>
    <xf numFmtId="0" fontId="73" fillId="6" borderId="33" xfId="137" applyBorder="1" applyAlignment="1">
      <alignment horizontal="center"/>
    </xf>
    <xf numFmtId="0" fontId="73" fillId="6" borderId="32" xfId="137" applyAlignment="1">
      <alignment horizontal="right"/>
    </xf>
    <xf numFmtId="0" fontId="73" fillId="6" borderId="34" xfId="137" applyBorder="1"/>
    <xf numFmtId="0" fontId="73" fillId="6" borderId="34" xfId="137" applyBorder="1" applyAlignment="1">
      <alignment horizontal="right"/>
    </xf>
    <xf numFmtId="180" fontId="75" fillId="6" borderId="32" xfId="137" applyNumberFormat="1" applyFont="1" applyAlignment="1">
      <alignment horizontal="left"/>
    </xf>
    <xf numFmtId="30" fontId="75" fillId="6" borderId="32" xfId="136" applyNumberFormat="1" applyFont="1" applyAlignment="1">
      <alignment horizontal="left"/>
    </xf>
    <xf numFmtId="203" fontId="75" fillId="6" borderId="32" xfId="137" applyNumberFormat="1" applyFont="1" applyAlignment="1">
      <alignment horizontal="left"/>
    </xf>
    <xf numFmtId="0" fontId="73" fillId="6" borderId="32" xfId="137" applyAlignment="1">
      <alignment horizontal="left"/>
    </xf>
    <xf numFmtId="0" fontId="76" fillId="6" borderId="32" xfId="137" applyFont="1"/>
    <xf numFmtId="0" fontId="77" fillId="6" borderId="32" xfId="137" applyFont="1"/>
    <xf numFmtId="0" fontId="78" fillId="7" borderId="35" xfId="137" applyFont="1" applyFill="1" applyBorder="1" applyAlignment="1">
      <alignment horizontal="center" vertical="center"/>
    </xf>
    <xf numFmtId="0" fontId="78" fillId="7" borderId="35" xfId="137" applyFont="1" applyFill="1" applyBorder="1" applyAlignment="1">
      <alignment horizontal="center"/>
    </xf>
    <xf numFmtId="199" fontId="78" fillId="7" borderId="32" xfId="135" applyFont="1" applyFill="1" applyBorder="1" applyAlignment="1" applyProtection="1">
      <alignment horizontal="center"/>
    </xf>
    <xf numFmtId="204" fontId="73" fillId="6" borderId="32" xfId="137" applyNumberFormat="1"/>
    <xf numFmtId="0" fontId="73" fillId="6" borderId="32" xfId="137" applyAlignment="1">
      <alignment vertical="center"/>
    </xf>
    <xf numFmtId="0" fontId="77" fillId="6" borderId="32" xfId="137" applyFont="1" applyAlignment="1">
      <alignment vertical="center"/>
    </xf>
    <xf numFmtId="0" fontId="78" fillId="7" borderId="37" xfId="137" applyFont="1" applyFill="1" applyBorder="1" applyAlignment="1">
      <alignment horizontal="center" vertical="center"/>
    </xf>
    <xf numFmtId="204" fontId="73" fillId="6" borderId="32" xfId="137" applyNumberFormat="1" applyAlignment="1">
      <alignment vertical="center"/>
    </xf>
    <xf numFmtId="0" fontId="81" fillId="6" borderId="32" xfId="137" applyFont="1"/>
    <xf numFmtId="205" fontId="82" fillId="8" borderId="35" xfId="137" applyNumberFormat="1" applyFont="1" applyFill="1" applyBorder="1" applyAlignment="1">
      <alignment horizontal="center" vertical="center"/>
    </xf>
    <xf numFmtId="0" fontId="83" fillId="8" borderId="38" xfId="139" applyFont="1" applyFill="1" applyBorder="1">
      <alignment vertical="center"/>
    </xf>
    <xf numFmtId="0" fontId="82" fillId="8" borderId="38" xfId="139" applyFont="1" applyFill="1" applyBorder="1">
      <alignment vertical="center"/>
    </xf>
    <xf numFmtId="198" fontId="82" fillId="8" borderId="38" xfId="134" applyFont="1" applyFill="1" applyBorder="1" applyAlignment="1" applyProtection="1">
      <alignment horizontal="center"/>
    </xf>
    <xf numFmtId="198" fontId="82" fillId="8" borderId="38" xfId="134" applyFont="1" applyFill="1" applyBorder="1" applyAlignment="1" applyProtection="1"/>
    <xf numFmtId="206" fontId="82" fillId="8" borderId="38" xfId="133" applyNumberFormat="1" applyFont="1" applyFill="1" applyBorder="1" applyAlignment="1" applyProtection="1"/>
    <xf numFmtId="206" fontId="82" fillId="8" borderId="35" xfId="133" applyNumberFormat="1" applyFont="1" applyFill="1" applyBorder="1" applyAlignment="1" applyProtection="1">
      <alignment horizontal="right"/>
    </xf>
    <xf numFmtId="184" fontId="82" fillId="8" borderId="35" xfId="132" applyNumberFormat="1" applyFont="1" applyFill="1" applyBorder="1" applyAlignment="1" applyProtection="1">
      <alignment horizontal="center"/>
    </xf>
    <xf numFmtId="206" fontId="82" fillId="8" borderId="35" xfId="133" applyNumberFormat="1" applyFont="1" applyFill="1" applyBorder="1" applyAlignment="1" applyProtection="1">
      <alignment horizontal="center"/>
    </xf>
    <xf numFmtId="205" fontId="82" fillId="9" borderId="35" xfId="137" applyNumberFormat="1" applyFont="1" applyFill="1" applyBorder="1" applyAlignment="1">
      <alignment horizontal="center" vertical="center"/>
    </xf>
    <xf numFmtId="0" fontId="82" fillId="6" borderId="38" xfId="139" applyFont="1" applyBorder="1" applyAlignment="1">
      <alignment horizontal="left" vertical="center"/>
    </xf>
    <xf numFmtId="0" fontId="82" fillId="6" borderId="38" xfId="139" applyFont="1" applyBorder="1">
      <alignment vertical="center"/>
    </xf>
    <xf numFmtId="198" fontId="82" fillId="6" borderId="38" xfId="134" applyFont="1" applyBorder="1" applyAlignment="1" applyProtection="1">
      <alignment horizontal="center"/>
    </xf>
    <xf numFmtId="198" fontId="82" fillId="6" borderId="38" xfId="134" applyFont="1" applyBorder="1" applyAlignment="1" applyProtection="1"/>
    <xf numFmtId="206" fontId="82" fillId="6" borderId="38" xfId="133" applyNumberFormat="1" applyFont="1" applyBorder="1" applyAlignment="1" applyProtection="1"/>
    <xf numFmtId="206" fontId="82" fillId="10" borderId="35" xfId="133" applyNumberFormat="1" applyFont="1" applyFill="1" applyBorder="1" applyAlignment="1" applyProtection="1">
      <alignment horizontal="right"/>
    </xf>
    <xf numFmtId="184" fontId="82" fillId="6" borderId="35" xfId="132" applyNumberFormat="1" applyFont="1" applyBorder="1" applyAlignment="1" applyProtection="1">
      <alignment horizontal="center"/>
    </xf>
    <xf numFmtId="206" fontId="82" fillId="6" borderId="35" xfId="133" applyNumberFormat="1" applyFont="1" applyBorder="1" applyAlignment="1" applyProtection="1">
      <alignment horizontal="center"/>
    </xf>
    <xf numFmtId="0" fontId="81" fillId="8" borderId="32" xfId="137" applyFont="1" applyFill="1"/>
    <xf numFmtId="204" fontId="81" fillId="8" borderId="32" xfId="137" applyNumberFormat="1" applyFont="1" applyFill="1"/>
    <xf numFmtId="0" fontId="73" fillId="8" borderId="32" xfId="137" applyFill="1"/>
    <xf numFmtId="204" fontId="81" fillId="6" borderId="32" xfId="137" applyNumberFormat="1" applyFont="1"/>
    <xf numFmtId="205" fontId="82" fillId="9" borderId="36" xfId="137" applyNumberFormat="1" applyFont="1" applyFill="1" applyBorder="1" applyAlignment="1">
      <alignment horizontal="center" vertical="center"/>
    </xf>
    <xf numFmtId="0" fontId="82" fillId="6" borderId="39" xfId="139" applyFont="1" applyBorder="1">
      <alignment vertical="center"/>
    </xf>
    <xf numFmtId="198" fontId="82" fillId="6" borderId="39" xfId="134" applyFont="1" applyBorder="1" applyAlignment="1" applyProtection="1">
      <alignment horizontal="center"/>
    </xf>
    <xf numFmtId="198" fontId="82" fillId="6" borderId="39" xfId="134" applyFont="1" applyBorder="1" applyAlignment="1" applyProtection="1"/>
    <xf numFmtId="206" fontId="82" fillId="6" borderId="39" xfId="133" applyNumberFormat="1" applyFont="1" applyBorder="1" applyAlignment="1" applyProtection="1"/>
    <xf numFmtId="206" fontId="77" fillId="11" borderId="40" xfId="133" applyNumberFormat="1" applyFont="1" applyFill="1" applyBorder="1" applyAlignment="1" applyProtection="1">
      <alignment vertical="center"/>
    </xf>
    <xf numFmtId="184" fontId="82" fillId="6" borderId="36" xfId="132" applyNumberFormat="1" applyFont="1" applyBorder="1" applyAlignment="1" applyProtection="1">
      <alignment horizontal="center"/>
    </xf>
    <xf numFmtId="206" fontId="82" fillId="6" borderId="36" xfId="133" applyNumberFormat="1" applyFont="1" applyBorder="1" applyAlignment="1" applyProtection="1">
      <alignment horizontal="center"/>
    </xf>
    <xf numFmtId="0" fontId="78" fillId="6" borderId="41" xfId="137" applyFont="1" applyBorder="1" applyAlignment="1">
      <alignment horizontal="left" vertical="center"/>
    </xf>
    <xf numFmtId="0" fontId="78" fillId="6" borderId="42" xfId="137" applyFont="1" applyBorder="1" applyAlignment="1">
      <alignment horizontal="center" vertical="center"/>
    </xf>
    <xf numFmtId="0" fontId="78" fillId="6" borderId="42" xfId="137" applyFont="1" applyBorder="1" applyAlignment="1">
      <alignment horizontal="center"/>
    </xf>
    <xf numFmtId="0" fontId="78" fillId="6" borderId="42" xfId="137" applyFont="1" applyBorder="1"/>
    <xf numFmtId="206" fontId="78" fillId="6" borderId="42" xfId="133" applyNumberFormat="1" applyFont="1" applyBorder="1" applyAlignment="1" applyProtection="1"/>
    <xf numFmtId="206" fontId="78" fillId="10" borderId="41" xfId="133" applyNumberFormat="1" applyFont="1" applyFill="1" applyBorder="1" applyAlignment="1" applyProtection="1">
      <alignment horizontal="right" vertical="center"/>
    </xf>
    <xf numFmtId="206" fontId="84" fillId="6" borderId="41" xfId="133" applyNumberFormat="1" applyFont="1" applyBorder="1" applyAlignment="1" applyProtection="1">
      <alignment horizontal="center"/>
    </xf>
    <xf numFmtId="206" fontId="78" fillId="10" borderId="42" xfId="133" applyNumberFormat="1" applyFont="1" applyFill="1" applyBorder="1" applyAlignment="1" applyProtection="1"/>
    <xf numFmtId="206" fontId="85" fillId="10" borderId="41" xfId="133" applyNumberFormat="1" applyFont="1" applyFill="1" applyBorder="1" applyAlignment="1" applyProtection="1">
      <alignment horizontal="center"/>
    </xf>
    <xf numFmtId="206" fontId="78" fillId="10" borderId="41" xfId="133" applyNumberFormat="1" applyFont="1" applyFill="1" applyBorder="1" applyAlignment="1" applyProtection="1">
      <alignment horizontal="center"/>
    </xf>
    <xf numFmtId="184" fontId="78" fillId="6" borderId="41" xfId="132" applyNumberFormat="1" applyFont="1" applyBorder="1" applyAlignment="1" applyProtection="1">
      <alignment horizontal="center"/>
    </xf>
    <xf numFmtId="206" fontId="78" fillId="6" borderId="41" xfId="133" applyNumberFormat="1" applyFont="1" applyBorder="1" applyAlignment="1" applyProtection="1">
      <alignment horizontal="center"/>
    </xf>
    <xf numFmtId="0" fontId="82" fillId="7" borderId="43" xfId="137" applyFont="1" applyFill="1" applyBorder="1" applyAlignment="1">
      <alignment horizontal="left" vertical="center"/>
    </xf>
    <xf numFmtId="0" fontId="82" fillId="7" borderId="44" xfId="137" applyFont="1" applyFill="1" applyBorder="1" applyAlignment="1">
      <alignment horizontal="center" vertical="center"/>
    </xf>
    <xf numFmtId="0" fontId="82" fillId="7" borderId="44" xfId="137" applyFont="1" applyFill="1" applyBorder="1" applyAlignment="1">
      <alignment horizontal="center"/>
    </xf>
    <xf numFmtId="0" fontId="82" fillId="7" borderId="44" xfId="137" applyFont="1" applyFill="1" applyBorder="1" applyAlignment="1">
      <alignment horizontal="right"/>
    </xf>
    <xf numFmtId="206" fontId="82" fillId="7" borderId="44" xfId="133" applyNumberFormat="1" applyFont="1" applyFill="1" applyBorder="1" applyAlignment="1" applyProtection="1">
      <alignment horizontal="right"/>
    </xf>
    <xf numFmtId="206" fontId="82" fillId="7" borderId="43" xfId="133" applyNumberFormat="1" applyFont="1" applyFill="1" applyBorder="1" applyAlignment="1" applyProtection="1">
      <alignment horizontal="right"/>
    </xf>
    <xf numFmtId="184" fontId="82" fillId="7" borderId="43" xfId="132" applyNumberFormat="1" applyFont="1" applyFill="1" applyBorder="1" applyAlignment="1" applyProtection="1">
      <alignment horizontal="center"/>
    </xf>
    <xf numFmtId="206" fontId="82" fillId="7" borderId="43" xfId="133" applyNumberFormat="1" applyFont="1" applyFill="1" applyBorder="1" applyAlignment="1" applyProtection="1">
      <alignment horizontal="center"/>
    </xf>
    <xf numFmtId="0" fontId="86" fillId="6" borderId="45" xfId="137" applyFont="1" applyBorder="1"/>
    <xf numFmtId="0" fontId="86" fillId="6" borderId="46" xfId="137" applyFont="1" applyBorder="1"/>
    <xf numFmtId="0" fontId="73" fillId="6" borderId="35" xfId="137" applyBorder="1"/>
    <xf numFmtId="206" fontId="87" fillId="6" borderId="32" xfId="133" applyNumberFormat="1" applyFont="1" applyBorder="1" applyAlignment="1" applyProtection="1"/>
    <xf numFmtId="0" fontId="78" fillId="6" borderId="35" xfId="137" applyFont="1" applyBorder="1"/>
    <xf numFmtId="0" fontId="78" fillId="6" borderId="35" xfId="137" applyFont="1" applyBorder="1" applyAlignment="1">
      <alignment horizontal="center"/>
    </xf>
    <xf numFmtId="206" fontId="73" fillId="6" borderId="35" xfId="133" applyNumberFormat="1" applyFont="1" applyBorder="1" applyAlignment="1" applyProtection="1"/>
    <xf numFmtId="206" fontId="73" fillId="6" borderId="35" xfId="133" applyNumberFormat="1" applyFont="1" applyBorder="1" applyAlignment="1" applyProtection="1">
      <alignment horizontal="right" vertical="center"/>
    </xf>
    <xf numFmtId="206" fontId="88" fillId="6" borderId="35" xfId="133" applyNumberFormat="1" applyFont="1" applyBorder="1" applyAlignment="1" applyProtection="1"/>
    <xf numFmtId="206" fontId="89" fillId="6" borderId="35" xfId="133" applyNumberFormat="1" applyFont="1" applyBorder="1" applyAlignment="1" applyProtection="1"/>
    <xf numFmtId="184" fontId="73" fillId="6" borderId="35" xfId="137" applyNumberFormat="1" applyBorder="1"/>
    <xf numFmtId="0" fontId="76" fillId="6" borderId="35" xfId="137" applyFont="1" applyBorder="1"/>
    <xf numFmtId="0" fontId="90" fillId="6" borderId="35" xfId="137" applyFont="1" applyBorder="1"/>
    <xf numFmtId="186" fontId="81" fillId="8" borderId="35" xfId="137" applyNumberFormat="1" applyFont="1" applyFill="1" applyBorder="1" applyAlignment="1">
      <alignment horizontal="center" vertical="center"/>
    </xf>
    <xf numFmtId="206" fontId="82" fillId="8" borderId="35" xfId="133" applyNumberFormat="1" applyFont="1" applyFill="1" applyBorder="1" applyAlignment="1" applyProtection="1">
      <alignment horizontal="right" vertical="center"/>
    </xf>
    <xf numFmtId="206" fontId="91" fillId="8" borderId="35" xfId="133" applyNumberFormat="1" applyFont="1" applyFill="1" applyBorder="1" applyAlignment="1" applyProtection="1">
      <alignment horizontal="center"/>
    </xf>
    <xf numFmtId="206" fontId="92" fillId="8" borderId="38" xfId="133" applyNumberFormat="1" applyFont="1" applyFill="1" applyBorder="1" applyAlignment="1" applyProtection="1"/>
    <xf numFmtId="0" fontId="81" fillId="6" borderId="35" xfId="137" applyFont="1" applyBorder="1"/>
    <xf numFmtId="201" fontId="73" fillId="6" borderId="32" xfId="137" applyNumberFormat="1"/>
    <xf numFmtId="186" fontId="81" fillId="6" borderId="35" xfId="137" applyNumberFormat="1" applyFont="1" applyBorder="1" applyAlignment="1">
      <alignment horizontal="center" vertical="center"/>
    </xf>
    <xf numFmtId="0" fontId="78" fillId="6" borderId="38" xfId="139" applyFont="1" applyBorder="1">
      <alignment vertical="center"/>
    </xf>
    <xf numFmtId="198" fontId="78" fillId="6" borderId="38" xfId="134" applyFont="1" applyBorder="1" applyAlignment="1" applyProtection="1">
      <alignment horizontal="center"/>
    </xf>
    <xf numFmtId="198" fontId="78" fillId="6" borderId="38" xfId="134" applyFont="1" applyBorder="1" applyAlignment="1" applyProtection="1"/>
    <xf numFmtId="206" fontId="78" fillId="6" borderId="38" xfId="133" applyNumberFormat="1" applyFont="1" applyBorder="1" applyAlignment="1" applyProtection="1"/>
    <xf numFmtId="206" fontId="78" fillId="6" borderId="38" xfId="133" applyNumberFormat="1" applyFont="1" applyBorder="1" applyAlignment="1" applyProtection="1">
      <alignment horizontal="right"/>
    </xf>
    <xf numFmtId="206" fontId="78" fillId="6" borderId="35" xfId="133" applyNumberFormat="1" applyFont="1" applyBorder="1" applyAlignment="1" applyProtection="1">
      <alignment horizontal="right"/>
    </xf>
    <xf numFmtId="206" fontId="78" fillId="12" borderId="38" xfId="133" applyNumberFormat="1" applyFont="1" applyFill="1" applyBorder="1" applyAlignment="1" applyProtection="1"/>
    <xf numFmtId="206" fontId="84" fillId="6" borderId="35" xfId="133" applyNumberFormat="1" applyFont="1" applyBorder="1" applyAlignment="1" applyProtection="1">
      <alignment horizontal="center"/>
    </xf>
    <xf numFmtId="206" fontId="93" fillId="6" borderId="38" xfId="133" applyNumberFormat="1" applyFont="1" applyBorder="1" applyAlignment="1" applyProtection="1"/>
    <xf numFmtId="206" fontId="78" fillId="6" borderId="35" xfId="133" applyNumberFormat="1" applyFont="1" applyBorder="1" applyAlignment="1" applyProtection="1">
      <alignment horizontal="center"/>
    </xf>
    <xf numFmtId="184" fontId="78" fillId="6" borderId="35" xfId="131" applyNumberFormat="1" applyFont="1" applyBorder="1" applyAlignment="1">
      <alignment horizontal="center"/>
    </xf>
    <xf numFmtId="201" fontId="81" fillId="6" borderId="35" xfId="137" applyNumberFormat="1" applyFont="1" applyBorder="1"/>
    <xf numFmtId="201" fontId="73" fillId="6" borderId="35" xfId="137" applyNumberFormat="1" applyBorder="1"/>
    <xf numFmtId="0" fontId="81" fillId="13" borderId="32" xfId="137" applyFont="1" applyFill="1"/>
    <xf numFmtId="186" fontId="81" fillId="13" borderId="35" xfId="137" applyNumberFormat="1" applyFont="1" applyFill="1" applyBorder="1" applyAlignment="1">
      <alignment horizontal="center" vertical="center"/>
    </xf>
    <xf numFmtId="0" fontId="82" fillId="13" borderId="38" xfId="139" applyFont="1" applyFill="1" applyBorder="1">
      <alignment vertical="center"/>
    </xf>
    <xf numFmtId="198" fontId="82" fillId="13" borderId="38" xfId="134" applyFont="1" applyFill="1" applyBorder="1" applyAlignment="1" applyProtection="1">
      <alignment horizontal="center"/>
    </xf>
    <xf numFmtId="198" fontId="82" fillId="13" borderId="38" xfId="134" applyFont="1" applyFill="1" applyBorder="1" applyAlignment="1" applyProtection="1"/>
    <xf numFmtId="206" fontId="82" fillId="13" borderId="38" xfId="133" applyNumberFormat="1" applyFont="1" applyFill="1" applyBorder="1" applyAlignment="1" applyProtection="1"/>
    <xf numFmtId="206" fontId="82" fillId="13" borderId="38" xfId="133" applyNumberFormat="1" applyFont="1" applyFill="1" applyBorder="1" applyAlignment="1" applyProtection="1">
      <alignment horizontal="right"/>
    </xf>
    <xf numFmtId="206" fontId="78" fillId="13" borderId="35" xfId="133" applyNumberFormat="1" applyFont="1" applyFill="1" applyBorder="1" applyAlignment="1" applyProtection="1">
      <alignment horizontal="right"/>
    </xf>
    <xf numFmtId="206" fontId="78" fillId="13" borderId="38" xfId="133" applyNumberFormat="1" applyFont="1" applyFill="1" applyBorder="1" applyAlignment="1" applyProtection="1"/>
    <xf numFmtId="184" fontId="78" fillId="13" borderId="35" xfId="131" applyNumberFormat="1" applyFont="1" applyFill="1" applyBorder="1" applyAlignment="1">
      <alignment horizontal="center"/>
    </xf>
    <xf numFmtId="206" fontId="78" fillId="13" borderId="35" xfId="133" applyNumberFormat="1" applyFont="1" applyFill="1" applyBorder="1" applyAlignment="1" applyProtection="1">
      <alignment horizontal="center"/>
    </xf>
    <xf numFmtId="0" fontId="82" fillId="8" borderId="35" xfId="137" applyFont="1" applyFill="1" applyBorder="1" applyAlignment="1">
      <alignment vertical="center"/>
    </xf>
    <xf numFmtId="0" fontId="82" fillId="8" borderId="35" xfId="137" applyFont="1" applyFill="1" applyBorder="1" applyAlignment="1">
      <alignment horizontal="right"/>
    </xf>
    <xf numFmtId="0" fontId="78" fillId="8" borderId="35" xfId="137" applyFont="1" applyFill="1" applyBorder="1" applyAlignment="1">
      <alignment horizontal="center"/>
    </xf>
    <xf numFmtId="0" fontId="78" fillId="8" borderId="35" xfId="137" applyFont="1" applyFill="1" applyBorder="1" applyAlignment="1">
      <alignment horizontal="right"/>
    </xf>
    <xf numFmtId="206" fontId="78" fillId="8" borderId="35" xfId="133" applyNumberFormat="1" applyFont="1" applyFill="1" applyBorder="1" applyAlignment="1" applyProtection="1">
      <alignment horizontal="right"/>
    </xf>
    <xf numFmtId="206" fontId="84" fillId="8" borderId="35" xfId="133" applyNumberFormat="1" applyFont="1" applyFill="1" applyBorder="1" applyAlignment="1" applyProtection="1">
      <alignment horizontal="center"/>
    </xf>
    <xf numFmtId="206" fontId="93" fillId="8" borderId="38" xfId="133" applyNumberFormat="1" applyFont="1" applyFill="1" applyBorder="1" applyAlignment="1" applyProtection="1"/>
    <xf numFmtId="206" fontId="78" fillId="8" borderId="35" xfId="133" applyNumberFormat="1" applyFont="1" applyFill="1" applyBorder="1" applyAlignment="1" applyProtection="1">
      <alignment horizontal="center"/>
    </xf>
    <xf numFmtId="206" fontId="78" fillId="8" borderId="38" xfId="133" applyNumberFormat="1" applyFont="1" applyFill="1" applyBorder="1" applyAlignment="1" applyProtection="1"/>
    <xf numFmtId="184" fontId="78" fillId="8" borderId="35" xfId="131" applyNumberFormat="1" applyFont="1" applyFill="1" applyBorder="1" applyAlignment="1">
      <alignment horizontal="center"/>
    </xf>
    <xf numFmtId="0" fontId="78" fillId="6" borderId="35" xfId="137" applyFont="1" applyBorder="1" applyAlignment="1">
      <alignment vertical="center"/>
    </xf>
    <xf numFmtId="0" fontId="78" fillId="6" borderId="35" xfId="137" applyFont="1" applyBorder="1" applyAlignment="1">
      <alignment horizontal="right"/>
    </xf>
    <xf numFmtId="206" fontId="78" fillId="6" borderId="35" xfId="133" applyNumberFormat="1" applyFont="1" applyBorder="1" applyAlignment="1" applyProtection="1"/>
    <xf numFmtId="0" fontId="73" fillId="13" borderId="32" xfId="137" applyFill="1"/>
    <xf numFmtId="0" fontId="82" fillId="13" borderId="35" xfId="137" applyFont="1" applyFill="1" applyBorder="1" applyAlignment="1">
      <alignment vertical="center"/>
    </xf>
    <xf numFmtId="0" fontId="78" fillId="13" borderId="35" xfId="137" applyFont="1" applyFill="1" applyBorder="1"/>
    <xf numFmtId="0" fontId="78" fillId="13" borderId="35" xfId="137" applyFont="1" applyFill="1" applyBorder="1" applyAlignment="1">
      <alignment horizontal="center"/>
    </xf>
    <xf numFmtId="206" fontId="78" fillId="13" borderId="35" xfId="133" applyNumberFormat="1" applyFont="1" applyFill="1" applyBorder="1" applyAlignment="1" applyProtection="1"/>
    <xf numFmtId="206" fontId="84" fillId="13" borderId="35" xfId="133" applyNumberFormat="1" applyFont="1" applyFill="1" applyBorder="1" applyAlignment="1" applyProtection="1">
      <alignment horizontal="center"/>
    </xf>
    <xf numFmtId="0" fontId="78" fillId="8" borderId="35" xfId="137" applyFont="1" applyFill="1" applyBorder="1"/>
    <xf numFmtId="206" fontId="78" fillId="8" borderId="35" xfId="133" applyNumberFormat="1" applyFont="1" applyFill="1" applyBorder="1" applyAlignment="1" applyProtection="1"/>
    <xf numFmtId="0" fontId="83" fillId="8" borderId="35" xfId="137" applyFont="1" applyFill="1" applyBorder="1" applyAlignment="1">
      <alignment vertical="center"/>
    </xf>
    <xf numFmtId="187" fontId="77" fillId="6" borderId="32" xfId="138" applyNumberFormat="1" applyFont="1">
      <alignment vertical="center"/>
    </xf>
    <xf numFmtId="0" fontId="82" fillId="6" borderId="35" xfId="137" applyFont="1" applyBorder="1" applyAlignment="1">
      <alignment vertical="center"/>
    </xf>
    <xf numFmtId="0" fontId="82" fillId="6" borderId="35" xfId="137" applyFont="1" applyBorder="1"/>
    <xf numFmtId="0" fontId="82" fillId="6" borderId="35" xfId="137" applyFont="1" applyBorder="1" applyAlignment="1">
      <alignment horizontal="center"/>
    </xf>
    <xf numFmtId="206" fontId="82" fillId="6" borderId="35" xfId="133" applyNumberFormat="1" applyFont="1" applyBorder="1" applyAlignment="1" applyProtection="1"/>
    <xf numFmtId="206" fontId="82" fillId="6" borderId="35" xfId="133" applyNumberFormat="1" applyFont="1" applyBorder="1" applyAlignment="1" applyProtection="1">
      <alignment horizontal="right"/>
    </xf>
    <xf numFmtId="184" fontId="82" fillId="6" borderId="35" xfId="131" applyNumberFormat="1" applyFont="1" applyBorder="1" applyAlignment="1">
      <alignment horizontal="center"/>
    </xf>
    <xf numFmtId="3" fontId="95" fillId="14" borderId="32" xfId="138" applyNumberFormat="1" applyFont="1" applyFill="1">
      <alignment vertical="center"/>
    </xf>
    <xf numFmtId="186" fontId="96" fillId="6" borderId="35" xfId="137" applyNumberFormat="1" applyFont="1" applyBorder="1" applyAlignment="1">
      <alignment horizontal="center" vertical="center"/>
    </xf>
  </cellXfs>
  <cellStyles count="135">
    <cellStyle name="20% - 강조색3" xfId="131" builtinId="38"/>
    <cellStyle name="60% - 강조색1" xfId="132" builtinId="32"/>
    <cellStyle name="Comma [0]" xfId="23" xr:uid="{00000000-0005-0000-0000-000000000000}"/>
    <cellStyle name="Comma [0] 2" xfId="26" xr:uid="{00000000-0005-0000-0000-000001000000}"/>
    <cellStyle name="Comma [0] 2 2" xfId="113" xr:uid="{00000000-0005-0000-0000-000002000000}"/>
    <cellStyle name="Comma [0] 2 3" xfId="114" xr:uid="{00000000-0005-0000-0000-000003000000}"/>
    <cellStyle name="Comma [0] 2 4" xfId="129" xr:uid="{00000000-0005-0000-0000-000004000000}"/>
    <cellStyle name="Comma [0] 3" xfId="66" xr:uid="{00000000-0005-0000-0000-000005000000}"/>
    <cellStyle name="Comma [0] 4" xfId="125" xr:uid="{00000000-0005-0000-0000-000006000000}"/>
    <cellStyle name="Normal 3 2 2" xfId="111" xr:uid="{00000000-0005-0000-0000-000007000000}"/>
    <cellStyle name="Percent" xfId="130" xr:uid="{00000000-0005-0000-0000-000008000000}"/>
    <cellStyle name="백분율" xfId="1" xr:uid="{00000000-0005-0000-0000-000009000000}"/>
    <cellStyle name="백분율 2" xfId="5" xr:uid="{00000000-0005-0000-0000-00000A000000}"/>
    <cellStyle name="백분율 3" xfId="8" xr:uid="{00000000-0005-0000-0000-00000B000000}"/>
    <cellStyle name="설명 텍스트" xfId="133" builtinId="53"/>
    <cellStyle name="쉼표 [0]" xfId="37" xr:uid="{00000000-0005-0000-0000-00000C000000}"/>
    <cellStyle name="쉼표 [0] 10" xfId="80" xr:uid="{00000000-0005-0000-0000-00000D000000}"/>
    <cellStyle name="쉼표 [0] 10 2" xfId="86" xr:uid="{00000000-0005-0000-0000-00000E000000}"/>
    <cellStyle name="쉼표 [0] 10 2 4" xfId="17" xr:uid="{00000000-0005-0000-0000-00000F000000}"/>
    <cellStyle name="쉼표 [0] 10 3" xfId="90" xr:uid="{00000000-0005-0000-0000-000010000000}"/>
    <cellStyle name="쉼표 [0] 11" xfId="126" xr:uid="{00000000-0005-0000-0000-000011000000}"/>
    <cellStyle name="쉼표 [0] 2" xfId="21" xr:uid="{00000000-0005-0000-0000-000012000000}"/>
    <cellStyle name="쉼표 [0] 2 131" xfId="20" xr:uid="{00000000-0005-0000-0000-000013000000}"/>
    <cellStyle name="쉼표 [0] 2 2" xfId="14" xr:uid="{00000000-0005-0000-0000-000014000000}"/>
    <cellStyle name="쉼표 [0] 2 2 2" xfId="110" xr:uid="{00000000-0005-0000-0000-000015000000}"/>
    <cellStyle name="쉼표 [0] 2 2 8" xfId="25" xr:uid="{00000000-0005-0000-0000-000016000000}"/>
    <cellStyle name="쉼표 [0] 2 2 8 2" xfId="128" xr:uid="{00000000-0005-0000-0000-000017000000}"/>
    <cellStyle name="쉼표 [0] 2 3" xfId="31" xr:uid="{00000000-0005-0000-0000-000018000000}"/>
    <cellStyle name="쉼표 [0] 3" xfId="3" xr:uid="{00000000-0005-0000-0000-000019000000}"/>
    <cellStyle name="쉼표 [0] 3 2" xfId="10" xr:uid="{00000000-0005-0000-0000-00001A000000}"/>
    <cellStyle name="쉼표 [0] 4" xfId="19" xr:uid="{00000000-0005-0000-0000-00001B000000}"/>
    <cellStyle name="쉼표 [0] 5" xfId="32" xr:uid="{00000000-0005-0000-0000-00001C000000}"/>
    <cellStyle name="쉼표 [0] 6" xfId="36" xr:uid="{00000000-0005-0000-0000-00001D000000}"/>
    <cellStyle name="쉼표 [0] 6 2" xfId="41" xr:uid="{00000000-0005-0000-0000-00001E000000}"/>
    <cellStyle name="쉼표 [0] 6 3" xfId="44" xr:uid="{00000000-0005-0000-0000-00001F000000}"/>
    <cellStyle name="쉼표 [0] 6 3 2" xfId="53" xr:uid="{00000000-0005-0000-0000-000020000000}"/>
    <cellStyle name="쉼표 [0] 6 3 2 2" xfId="58" xr:uid="{00000000-0005-0000-0000-000021000000}"/>
    <cellStyle name="쉼표 [0] 6 3 3" xfId="97" xr:uid="{00000000-0005-0000-0000-000022000000}"/>
    <cellStyle name="쉼표 [0] 7" xfId="78" xr:uid="{00000000-0005-0000-0000-000023000000}"/>
    <cellStyle name="쉼표 [0] 8" xfId="39" xr:uid="{00000000-0005-0000-0000-000024000000}"/>
    <cellStyle name="쉼표 [0] 9" xfId="48" xr:uid="{00000000-0005-0000-0000-000025000000}"/>
    <cellStyle name="쉼표 [0] 9 2" xfId="60" xr:uid="{00000000-0005-0000-0000-000026000000}"/>
    <cellStyle name="쉼표 [0] 9 3" xfId="74" xr:uid="{00000000-0005-0000-0000-000027000000}"/>
    <cellStyle name="쉼표 [0] 9 3 2" xfId="84" xr:uid="{00000000-0005-0000-0000-000028000000}"/>
    <cellStyle name="쉼표 [0] 9 3 3" xfId="88" xr:uid="{00000000-0005-0000-0000-000029000000}"/>
    <cellStyle name="쉼표 2" xfId="13" xr:uid="{00000000-0005-0000-0000-00002A000000}"/>
    <cellStyle name="쉼표 3" xfId="34" xr:uid="{00000000-0005-0000-0000-00002B000000}"/>
    <cellStyle name="쉼표 3 2" xfId="79" xr:uid="{00000000-0005-0000-0000-00002C000000}"/>
    <cellStyle name="제목 1" xfId="134" builtinId="16"/>
    <cellStyle name="통화 2" xfId="4" xr:uid="{00000000-0005-0000-0000-00002D000000}"/>
    <cellStyle name="표준" xfId="0" builtinId="0"/>
    <cellStyle name="표준 10" xfId="22" xr:uid="{00000000-0005-0000-0000-00002F000000}"/>
    <cellStyle name="표준 106" xfId="18" xr:uid="{00000000-0005-0000-0000-000030000000}"/>
    <cellStyle name="표준 11" xfId="35" xr:uid="{00000000-0005-0000-0000-000031000000}"/>
    <cellStyle name="표준 11 2" xfId="40" xr:uid="{00000000-0005-0000-0000-000032000000}"/>
    <cellStyle name="표준 11 2 2" xfId="50" xr:uid="{00000000-0005-0000-0000-000033000000}"/>
    <cellStyle name="표준 11 2 2 2" xfId="55" xr:uid="{00000000-0005-0000-0000-000034000000}"/>
    <cellStyle name="표준 11 2 3" xfId="67" xr:uid="{00000000-0005-0000-0000-000035000000}"/>
    <cellStyle name="표준 11 2 3 2" xfId="77" xr:uid="{00000000-0005-0000-0000-000036000000}"/>
    <cellStyle name="표준 11 2 3 2 2" xfId="81" xr:uid="{00000000-0005-0000-0000-000037000000}"/>
    <cellStyle name="표준 11 2 3 2 3" xfId="89" xr:uid="{00000000-0005-0000-0000-000038000000}"/>
    <cellStyle name="표준 11 2 3 2 4" xfId="92" xr:uid="{00000000-0005-0000-0000-000039000000}"/>
    <cellStyle name="표준 11 2 3 2 5" xfId="98" xr:uid="{00000000-0005-0000-0000-00003A000000}"/>
    <cellStyle name="표준 11 2 3 2 6" xfId="101" xr:uid="{00000000-0005-0000-0000-00003B000000}"/>
    <cellStyle name="표준 11 2 3 2 6 2" xfId="117" xr:uid="{00000000-0005-0000-0000-00003C000000}"/>
    <cellStyle name="표준 11 2 3 2 7" xfId="122" xr:uid="{00000000-0005-0000-0000-00003D000000}"/>
    <cellStyle name="표준 11 2 4" xfId="82" xr:uid="{00000000-0005-0000-0000-00003E000000}"/>
    <cellStyle name="표준 11 2 4 2" xfId="93" xr:uid="{00000000-0005-0000-0000-00003F000000}"/>
    <cellStyle name="표준 11 2 4 2 2" xfId="100" xr:uid="{00000000-0005-0000-0000-000040000000}"/>
    <cellStyle name="표준 11 2 4 2 2 2" xfId="104" xr:uid="{00000000-0005-0000-0000-000041000000}"/>
    <cellStyle name="표준 11 2 4 2 2 2 2" xfId="120" xr:uid="{00000000-0005-0000-0000-000042000000}"/>
    <cellStyle name="표준 11 2 4 2 2 3" xfId="123" xr:uid="{00000000-0005-0000-0000-000043000000}"/>
    <cellStyle name="표준 11 2 4 3" xfId="99" xr:uid="{00000000-0005-0000-0000-000044000000}"/>
    <cellStyle name="표준 11 2 4 3 2" xfId="103" xr:uid="{00000000-0005-0000-0000-000045000000}"/>
    <cellStyle name="표준 11 2 4 3 2 2" xfId="119" xr:uid="{00000000-0005-0000-0000-000046000000}"/>
    <cellStyle name="표준 11 2 4 3 3" xfId="121" xr:uid="{00000000-0005-0000-0000-000047000000}"/>
    <cellStyle name="표준 11 2 4 4" xfId="102" xr:uid="{00000000-0005-0000-0000-000048000000}"/>
    <cellStyle name="표준 11 2 4 4 2" xfId="118" xr:uid="{00000000-0005-0000-0000-000049000000}"/>
    <cellStyle name="표준 11 3" xfId="42" xr:uid="{00000000-0005-0000-0000-00004A000000}"/>
    <cellStyle name="표준 11 3 2" xfId="51" xr:uid="{00000000-0005-0000-0000-00004B000000}"/>
    <cellStyle name="표준 11 3 2 2" xfId="56" xr:uid="{00000000-0005-0000-0000-00004C000000}"/>
    <cellStyle name="표준 11 3 3" xfId="95" xr:uid="{00000000-0005-0000-0000-00004D000000}"/>
    <cellStyle name="표준 11 4" xfId="46" xr:uid="{00000000-0005-0000-0000-00004E000000}"/>
    <cellStyle name="표준 11 4 2" xfId="76" xr:uid="{00000000-0005-0000-0000-00004F000000}"/>
    <cellStyle name="표준 11 4 2 2" xfId="85" xr:uid="{00000000-0005-0000-0000-000050000000}"/>
    <cellStyle name="표준 11 4 2 3" xfId="94" xr:uid="{00000000-0005-0000-0000-000051000000}"/>
    <cellStyle name="표준 11 4 3" xfId="115" xr:uid="{00000000-0005-0000-0000-000052000000}"/>
    <cellStyle name="표준 11 5" xfId="61" xr:uid="{00000000-0005-0000-0000-000053000000}"/>
    <cellStyle name="표준 11 6" xfId="65" xr:uid="{00000000-0005-0000-0000-000054000000}"/>
    <cellStyle name="표준 11 7" xfId="69" xr:uid="{00000000-0005-0000-0000-000055000000}"/>
    <cellStyle name="표준 11 8" xfId="72" xr:uid="{00000000-0005-0000-0000-000056000000}"/>
    <cellStyle name="표준 12" xfId="70" xr:uid="{00000000-0005-0000-0000-000057000000}"/>
    <cellStyle name="표준 12 2" xfId="75" xr:uid="{00000000-0005-0000-0000-000058000000}"/>
    <cellStyle name="표준 13" xfId="38" xr:uid="{00000000-0005-0000-0000-000059000000}"/>
    <cellStyle name="표준 13 2" xfId="54" xr:uid="{00000000-0005-0000-0000-00005A000000}"/>
    <cellStyle name="표준 14" xfId="47" xr:uid="{00000000-0005-0000-0000-00005B000000}"/>
    <cellStyle name="표준 14 2" xfId="59" xr:uid="{00000000-0005-0000-0000-00005C000000}"/>
    <cellStyle name="표준 14 3" xfId="73" xr:uid="{00000000-0005-0000-0000-00005D000000}"/>
    <cellStyle name="표준 14 3 2" xfId="83" xr:uid="{00000000-0005-0000-0000-00005E000000}"/>
    <cellStyle name="표준 14 3 3" xfId="87" xr:uid="{00000000-0005-0000-0000-00005F000000}"/>
    <cellStyle name="표준 14 4" xfId="91" xr:uid="{00000000-0005-0000-0000-000060000000}"/>
    <cellStyle name="표준 15" xfId="112" xr:uid="{00000000-0005-0000-0000-000061000000}"/>
    <cellStyle name="표준 2" xfId="2" xr:uid="{00000000-0005-0000-0000-000062000000}"/>
    <cellStyle name="표준 2 11" xfId="68" xr:uid="{00000000-0005-0000-0000-000063000000}"/>
    <cellStyle name="표준 2 2" xfId="9" xr:uid="{00000000-0005-0000-0000-000064000000}"/>
    <cellStyle name="표준 2 2 2" xfId="124" xr:uid="{00000000-0005-0000-0000-000065000000}"/>
    <cellStyle name="표준 2 2 2 2 2" xfId="106" xr:uid="{00000000-0005-0000-0000-000066000000}"/>
    <cellStyle name="표준 2 2 3" xfId="109" xr:uid="{00000000-0005-0000-0000-000067000000}"/>
    <cellStyle name="표준 2 3" xfId="45" xr:uid="{00000000-0005-0000-0000-000068000000}"/>
    <cellStyle name="표준 2 4 2" xfId="108" xr:uid="{00000000-0005-0000-0000-000069000000}"/>
    <cellStyle name="표준 3" xfId="7" xr:uid="{00000000-0005-0000-0000-00006A000000}"/>
    <cellStyle name="표준 3 2" xfId="12" xr:uid="{00000000-0005-0000-0000-00006B000000}"/>
    <cellStyle name="표준 3 3" xfId="30" xr:uid="{00000000-0005-0000-0000-00006C000000}"/>
    <cellStyle name="표준 3 3 2" xfId="63" xr:uid="{00000000-0005-0000-0000-00006D000000}"/>
    <cellStyle name="표준 3 3 3" xfId="62" xr:uid="{00000000-0005-0000-0000-00006E000000}"/>
    <cellStyle name="표준 3 3 4" xfId="64" xr:uid="{00000000-0005-0000-0000-00006F000000}"/>
    <cellStyle name="표준 34" xfId="49" xr:uid="{00000000-0005-0000-0000-000070000000}"/>
    <cellStyle name="표준 38" xfId="33" xr:uid="{00000000-0005-0000-0000-000071000000}"/>
    <cellStyle name="표준 38 2" xfId="71" xr:uid="{00000000-0005-0000-0000-000072000000}"/>
    <cellStyle name="표준 38 3" xfId="116" xr:uid="{00000000-0005-0000-0000-000073000000}"/>
    <cellStyle name="표준 38 4" xfId="43" xr:uid="{00000000-0005-0000-0000-000074000000}"/>
    <cellStyle name="표준 38 4 2" xfId="52" xr:uid="{00000000-0005-0000-0000-000075000000}"/>
    <cellStyle name="표준 38 4 2 2" xfId="57" xr:uid="{00000000-0005-0000-0000-000076000000}"/>
    <cellStyle name="표준 38 4 3" xfId="96" xr:uid="{00000000-0005-0000-0000-000077000000}"/>
    <cellStyle name="표준 38 5" xfId="127" xr:uid="{00000000-0005-0000-0000-000078000000}"/>
    <cellStyle name="표준 4" xfId="11" xr:uid="{00000000-0005-0000-0000-000079000000}"/>
    <cellStyle name="표준 47" xfId="107" xr:uid="{00000000-0005-0000-0000-00007A000000}"/>
    <cellStyle name="표준 47 2" xfId="105" xr:uid="{00000000-0005-0000-0000-00007B000000}"/>
    <cellStyle name="표준 5" xfId="15" xr:uid="{00000000-0005-0000-0000-00007C000000}"/>
    <cellStyle name="표준 5 2 21" xfId="6" xr:uid="{00000000-0005-0000-0000-00007D000000}"/>
    <cellStyle name="표준 6" xfId="16" xr:uid="{00000000-0005-0000-0000-00007E000000}"/>
    <cellStyle name="표준 7" xfId="24" xr:uid="{00000000-0005-0000-0000-00007F000000}"/>
    <cellStyle name="표준 7 2" xfId="28" xr:uid="{00000000-0005-0000-0000-000080000000}"/>
    <cellStyle name="표준 8" xfId="27" xr:uid="{00000000-0005-0000-0000-000081000000}"/>
    <cellStyle name="표준 9" xfId="29" xr:uid="{00000000-0005-0000-0000-00008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708660</xdr:colOff>
      <xdr:row>28</xdr:row>
      <xdr:rowOff>220980</xdr:rowOff>
    </xdr:to>
    <xdr:sp macro="" textlink="">
      <xdr:nvSpPr>
        <xdr:cNvPr id="1029" name="Text Box 5" hidden="1">
          <a:extLst>
            <a:ext uri="{FF2B5EF4-FFF2-40B4-BE49-F238E27FC236}">
              <a16:creationId xmlns:a16="http://schemas.microsoft.com/office/drawing/2014/main" id="{9B64D929-328A-B78F-B57B-15E6E6455E7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2370372631001"/>
  </sheetPr>
  <dimension ref="B3:R43"/>
  <sheetViews>
    <sheetView showGridLines="0" topLeftCell="A13" workbookViewId="0">
      <selection activeCell="R28" sqref="R28"/>
    </sheetView>
  </sheetViews>
  <sheetFormatPr defaultColWidth="8.8984375" defaultRowHeight="11.4"/>
  <cols>
    <col min="1" max="1" width="1.09765625" style="94" customWidth="1"/>
    <col min="2" max="2" width="16.59765625" style="94" customWidth="1"/>
    <col min="3" max="3" width="15.59765625" style="94" customWidth="1"/>
    <col min="4" max="4" width="14.3984375" style="94" customWidth="1"/>
    <col min="5" max="6" width="13.69921875" style="94" customWidth="1"/>
    <col min="7" max="7" width="2.796875" style="94" customWidth="1"/>
    <col min="8" max="8" width="3.09765625" style="94" customWidth="1"/>
    <col min="9" max="11" width="9.69921875" style="94" customWidth="1"/>
    <col min="12" max="12" width="2.8984375" style="94" customWidth="1"/>
    <col min="13" max="13" width="8.8984375" style="94"/>
    <col min="14" max="14" width="1.09765625" style="94" customWidth="1"/>
    <col min="15" max="17" width="8.8984375" style="94"/>
    <col min="18" max="18" width="9.8984375" style="94" customWidth="1"/>
    <col min="19" max="16384" width="8.8984375" style="94"/>
  </cols>
  <sheetData>
    <row r="3" spans="2:13" ht="32.25" customHeight="1"/>
    <row r="5" spans="2:13" ht="19.5" customHeight="1">
      <c r="B5" s="88" t="s">
        <v>0</v>
      </c>
      <c r="C5" s="88"/>
      <c r="D5" s="88"/>
      <c r="E5" s="88"/>
      <c r="F5" s="88"/>
      <c r="G5" s="87"/>
      <c r="H5" s="86" t="s">
        <v>1</v>
      </c>
      <c r="I5" s="95" t="s">
        <v>2</v>
      </c>
      <c r="J5" s="95" t="s">
        <v>3</v>
      </c>
      <c r="K5" s="95" t="s">
        <v>4</v>
      </c>
      <c r="M5" s="95" t="s">
        <v>5</v>
      </c>
    </row>
    <row r="6" spans="2:13" s="97" customFormat="1" ht="45.75" customHeight="1">
      <c r="B6" s="88"/>
      <c r="C6" s="88"/>
      <c r="D6" s="88"/>
      <c r="E6" s="88"/>
      <c r="F6" s="88"/>
      <c r="G6" s="87"/>
      <c r="H6" s="85"/>
      <c r="I6" s="158"/>
      <c r="J6" s="158"/>
      <c r="K6" s="96"/>
      <c r="M6" s="96"/>
    </row>
    <row r="7" spans="2:13" ht="10.5" customHeight="1">
      <c r="B7" s="88"/>
      <c r="C7" s="88"/>
      <c r="D7" s="88"/>
      <c r="E7" s="88"/>
      <c r="F7" s="88"/>
      <c r="G7" s="87"/>
      <c r="H7" s="84"/>
      <c r="I7" s="98" t="s">
        <v>6</v>
      </c>
      <c r="J7" s="98" t="s">
        <v>6</v>
      </c>
      <c r="K7" s="98" t="s">
        <v>6</v>
      </c>
      <c r="M7" s="98" t="s">
        <v>6</v>
      </c>
    </row>
    <row r="8" spans="2:13" ht="6" customHeight="1"/>
    <row r="9" spans="2:13" ht="21" customHeight="1"/>
    <row r="10" spans="2:13" ht="22.5" customHeight="1">
      <c r="B10" s="99" t="s">
        <v>7</v>
      </c>
      <c r="C10" s="170"/>
      <c r="D10" s="100"/>
      <c r="E10" s="99" t="s">
        <v>8</v>
      </c>
      <c r="F10" s="83" t="str">
        <f>IF(OR('1_PROGRESS PAYMENT'!$H$12="",'1_PROGRESS PAYMENT'!$C$38=""),"",'1_PROGRESS PAYMENT'!$H$12&amp;"-INV-"&amp;TEXT('1_PROGRESS PAYMENT'!$C$38,"000"))</f>
        <v/>
      </c>
      <c r="G10" s="82"/>
      <c r="H10" s="97"/>
      <c r="I10" s="99" t="s">
        <v>9</v>
      </c>
      <c r="J10" s="81"/>
      <c r="K10" s="80"/>
      <c r="M10" s="101" t="s">
        <v>10</v>
      </c>
    </row>
    <row r="11" spans="2:13" ht="19.5" customHeight="1">
      <c r="I11" s="102"/>
      <c r="J11" s="102"/>
      <c r="K11" s="169"/>
      <c r="M11" s="103"/>
    </row>
    <row r="12" spans="2:13" s="97" customFormat="1" ht="20.399999999999999" customHeight="1">
      <c r="B12" s="104" t="s">
        <v>11</v>
      </c>
      <c r="C12" s="79" t="s">
        <v>12</v>
      </c>
      <c r="D12" s="78"/>
      <c r="E12" s="77"/>
      <c r="F12" s="76" t="s">
        <v>13</v>
      </c>
      <c r="G12" s="75"/>
      <c r="H12" s="79"/>
      <c r="I12" s="74"/>
      <c r="J12" s="74"/>
      <c r="K12" s="73"/>
      <c r="L12" s="105"/>
      <c r="M12" s="106"/>
    </row>
    <row r="13" spans="2:13" s="97" customFormat="1" ht="20.399999999999999" customHeight="1">
      <c r="B13" s="104" t="s">
        <v>14</v>
      </c>
      <c r="C13" s="79" t="s">
        <v>15</v>
      </c>
      <c r="D13" s="78"/>
      <c r="E13" s="77"/>
      <c r="F13" s="76" t="s">
        <v>16</v>
      </c>
      <c r="G13" s="75"/>
      <c r="H13" s="72">
        <f>'3_CONTINUATION SHEET'!K41</f>
        <v>1789000</v>
      </c>
      <c r="I13" s="71"/>
      <c r="J13" s="71"/>
      <c r="K13" s="70"/>
      <c r="L13" s="105"/>
      <c r="M13" s="107"/>
    </row>
    <row r="14" spans="2:13" s="97" customFormat="1" ht="20.399999999999999" customHeight="1">
      <c r="B14" s="104" t="s">
        <v>17</v>
      </c>
      <c r="C14" s="79" t="s">
        <v>18</v>
      </c>
      <c r="D14" s="78"/>
      <c r="E14" s="77"/>
      <c r="F14" s="76" t="s">
        <v>19</v>
      </c>
      <c r="G14" s="75"/>
      <c r="H14" s="69"/>
      <c r="I14" s="71"/>
      <c r="J14" s="71"/>
      <c r="K14" s="70"/>
      <c r="L14" s="108"/>
      <c r="M14" s="66" t="s">
        <v>20</v>
      </c>
    </row>
    <row r="15" spans="2:13" s="97" customFormat="1" ht="20.399999999999999" customHeight="1">
      <c r="B15" s="104" t="s">
        <v>21</v>
      </c>
      <c r="C15" s="168" t="s">
        <v>22</v>
      </c>
      <c r="D15" s="99" t="s">
        <v>23</v>
      </c>
      <c r="E15" s="171"/>
      <c r="F15" s="76" t="s">
        <v>24</v>
      </c>
      <c r="G15" s="75"/>
      <c r="H15" s="69"/>
      <c r="I15" s="71"/>
      <c r="J15" s="71"/>
      <c r="K15" s="70"/>
      <c r="L15" s="108"/>
      <c r="M15" s="65"/>
    </row>
    <row r="16" spans="2:13" s="97" customFormat="1" ht="20.399999999999999" customHeight="1">
      <c r="B16" s="104" t="s">
        <v>25</v>
      </c>
      <c r="C16" s="79"/>
      <c r="D16" s="78"/>
      <c r="E16" s="77"/>
      <c r="F16" s="76" t="s">
        <v>26</v>
      </c>
      <c r="G16" s="75"/>
      <c r="H16" s="69"/>
      <c r="I16" s="71"/>
      <c r="J16" s="71"/>
      <c r="K16" s="70"/>
      <c r="L16" s="108"/>
      <c r="M16" s="64"/>
    </row>
    <row r="17" spans="2:18" s="97" customFormat="1" ht="27" customHeight="1">
      <c r="B17" s="109"/>
      <c r="C17" s="110"/>
      <c r="D17" s="111"/>
      <c r="E17" s="109"/>
      <c r="F17" s="110"/>
      <c r="I17" s="63" t="s">
        <v>27</v>
      </c>
      <c r="J17" s="63"/>
      <c r="K17" s="63"/>
      <c r="L17" s="105"/>
      <c r="M17" s="138"/>
    </row>
    <row r="18" spans="2:18" s="97" customFormat="1" ht="22.2" customHeight="1">
      <c r="B18" s="62" t="s">
        <v>28</v>
      </c>
      <c r="C18" s="78"/>
      <c r="D18" s="77"/>
      <c r="E18" s="159" t="s">
        <v>29</v>
      </c>
      <c r="F18" s="112" t="s">
        <v>30</v>
      </c>
      <c r="G18" s="61" t="s">
        <v>31</v>
      </c>
      <c r="H18" s="60"/>
      <c r="I18" s="59"/>
      <c r="J18" s="62" t="s">
        <v>32</v>
      </c>
      <c r="K18" s="77"/>
      <c r="L18" s="105"/>
      <c r="M18" s="137"/>
    </row>
    <row r="19" spans="2:18" s="97" customFormat="1" ht="22.2" customHeight="1">
      <c r="B19" s="113" t="s">
        <v>33</v>
      </c>
      <c r="C19" s="114"/>
      <c r="D19" s="115" t="s">
        <v>34</v>
      </c>
      <c r="E19" s="161">
        <v>0</v>
      </c>
      <c r="F19" s="152">
        <f>IF(OR(NOT(ISNUMBER(G19)),NOT(ISNUMBER(E19))),"",G19-E19)</f>
        <v>357800</v>
      </c>
      <c r="G19" s="58">
        <v>357800</v>
      </c>
      <c r="H19" s="57"/>
      <c r="I19" s="56"/>
      <c r="J19" s="55">
        <v>0.2</v>
      </c>
      <c r="K19" s="54"/>
    </row>
    <row r="20" spans="2:18" s="97" customFormat="1" ht="22.2" customHeight="1">
      <c r="B20" s="116" t="s">
        <v>35</v>
      </c>
      <c r="C20" s="116" t="s">
        <v>36</v>
      </c>
      <c r="D20" s="117"/>
      <c r="E20" s="152">
        <f>IF(NOT(ISNUMBER('3_CONTINUATION SHEET'!M41)),"",'3_CONTINUATION SHEET'!M41)</f>
        <v>0</v>
      </c>
      <c r="F20" s="152">
        <f>IF(OR(NOT(ISNUMBER(G20)),NOT(ISNUMBER(E20))),"",G20-E20)</f>
        <v>218000</v>
      </c>
      <c r="G20" s="43">
        <f>IF(NOT(ISNUMBER('3_CONTINUATION SHEET'!Q41)),"",'3_CONTINUATION SHEET'!Q41)</f>
        <v>218000</v>
      </c>
      <c r="H20" s="57"/>
      <c r="I20" s="56"/>
      <c r="J20" s="53">
        <f>IF(NOT(ISNUMBER(G20)),"",G20/H13)</f>
        <v>0.1218557853549469</v>
      </c>
      <c r="K20" s="52"/>
    </row>
    <row r="21" spans="2:18" s="97" customFormat="1" ht="22.2" customHeight="1">
      <c r="B21" s="118"/>
      <c r="C21" s="119" t="s">
        <v>37</v>
      </c>
      <c r="D21" s="120"/>
      <c r="E21" s="162">
        <v>0</v>
      </c>
      <c r="F21" s="153">
        <f t="shared" ref="F21:F33" si="0">IF(OR(NOT(ISNUMBER(G21)),NOT(ISNUMBER(E21))),"",G21-E21)</f>
        <v>0</v>
      </c>
      <c r="G21" s="42">
        <v>0</v>
      </c>
      <c r="H21" s="41"/>
      <c r="I21" s="40"/>
      <c r="J21" s="51"/>
      <c r="K21" s="50"/>
    </row>
    <row r="22" spans="2:18" s="97" customFormat="1" ht="22.2" customHeight="1">
      <c r="B22" s="118"/>
      <c r="C22" s="121" t="s">
        <v>38</v>
      </c>
      <c r="D22" s="122"/>
      <c r="E22" s="163">
        <v>0</v>
      </c>
      <c r="F22" s="154">
        <f t="shared" si="0"/>
        <v>0</v>
      </c>
      <c r="G22" s="39">
        <v>0</v>
      </c>
      <c r="H22" s="38"/>
      <c r="I22" s="37"/>
      <c r="J22" s="68"/>
      <c r="K22" s="67"/>
      <c r="L22" s="123"/>
    </row>
    <row r="23" spans="2:18" s="97" customFormat="1" ht="22.2" customHeight="1">
      <c r="B23" s="124"/>
      <c r="C23" s="125" t="s">
        <v>39</v>
      </c>
      <c r="D23" s="126" t="s">
        <v>40</v>
      </c>
      <c r="E23" s="155">
        <f>IF(NOT(ISNUMBER(E20)),"",SUM(E20:E22))</f>
        <v>0</v>
      </c>
      <c r="F23" s="152">
        <f>IF(OR(NOT(ISNUMBER(G23)),NOT(ISNUMBER(E23))),"",G23-E23)</f>
        <v>218000</v>
      </c>
      <c r="G23" s="43">
        <f>IF(NOT(ISNUMBER(G20)),"",SUM(G20:G22))</f>
        <v>218000</v>
      </c>
      <c r="H23" s="57">
        <f t="shared" ref="H23:I23" si="1">H20+H21+H22</f>
        <v>0</v>
      </c>
      <c r="I23" s="56">
        <f t="shared" si="1"/>
        <v>0</v>
      </c>
      <c r="J23" s="49"/>
      <c r="K23" s="48"/>
      <c r="R23"/>
    </row>
    <row r="24" spans="2:18" s="97" customFormat="1" ht="22.2" customHeight="1">
      <c r="B24" s="127" t="s">
        <v>41</v>
      </c>
      <c r="C24" s="125" t="s">
        <v>39</v>
      </c>
      <c r="D24" s="128" t="s">
        <v>42</v>
      </c>
      <c r="E24" s="164">
        <v>0</v>
      </c>
      <c r="F24" s="155">
        <f t="shared" si="0"/>
        <v>0</v>
      </c>
      <c r="G24" s="58">
        <v>0</v>
      </c>
      <c r="H24" s="57"/>
      <c r="I24" s="56"/>
      <c r="J24" s="49"/>
      <c r="K24" s="48"/>
    </row>
    <row r="25" spans="2:18" s="97" customFormat="1" ht="22.2" customHeight="1">
      <c r="B25" s="127" t="s">
        <v>43</v>
      </c>
      <c r="C25" s="172">
        <f>IF(OR(NOT(ISNUMBER('3_CONTINUATION SHEET'!U41)),NOT(ISNUMBER('3_CONTINUATION SHEET'!Q41)),'3_CONTINUATION SHEET'!Q41=0),0,'3_CONTINUATION SHEET'!U41/'3_CONTINUATION SHEET'!Q41)</f>
        <v>0.05</v>
      </c>
      <c r="D25" s="128" t="s">
        <v>44</v>
      </c>
      <c r="E25" s="155">
        <f>IF(OR(NOT(ISNUMBER(E23)),NOT(ISNUMBER('1_PROGRESS PAYMENT'!$C$25))),"",IF(ISNUMBER('1_PROGRESS PAYMENT'!$H$41),'1_PROGRESS PAYMENT'!$H$41,ROUND(E23*'1_PROGRESS PAYMENT'!$C$25,2)))</f>
        <v>0</v>
      </c>
      <c r="F25" s="152">
        <f>IF(OR(NOT(ISNUMBER(G25)),NOT(ISNUMBER(E25))),"",G25-E25)</f>
        <v>10900</v>
      </c>
      <c r="G25" s="43">
        <f>IF(OR(NOT(ISNUMBER(G23)),NOT(ISNUMBER(C25))),"",ROUND(G23*C25,2))</f>
        <v>10900</v>
      </c>
      <c r="H25" s="57"/>
      <c r="I25" s="56"/>
      <c r="J25" s="49"/>
      <c r="K25" s="48"/>
      <c r="L25" s="123"/>
    </row>
    <row r="26" spans="2:18" s="97" customFormat="1" ht="22.2" customHeight="1">
      <c r="B26" s="116" t="s">
        <v>45</v>
      </c>
      <c r="C26" s="116" t="s">
        <v>46</v>
      </c>
      <c r="D26" s="129"/>
      <c r="E26" s="161">
        <v>0</v>
      </c>
      <c r="F26" s="152">
        <f t="shared" si="0"/>
        <v>0</v>
      </c>
      <c r="G26" s="36">
        <v>0</v>
      </c>
      <c r="H26" s="35"/>
      <c r="I26" s="34"/>
      <c r="J26" s="47"/>
      <c r="K26" s="46"/>
    </row>
    <row r="27" spans="2:18" s="97" customFormat="1" ht="22.2" customHeight="1">
      <c r="B27" s="118"/>
      <c r="C27" s="119" t="s">
        <v>47</v>
      </c>
      <c r="D27" s="120"/>
      <c r="E27" s="162">
        <v>0</v>
      </c>
      <c r="F27" s="153">
        <f t="shared" si="0"/>
        <v>0</v>
      </c>
      <c r="G27" s="42">
        <v>0</v>
      </c>
      <c r="H27" s="33"/>
      <c r="I27" s="32"/>
      <c r="J27" s="45"/>
      <c r="K27" s="44"/>
    </row>
    <row r="28" spans="2:18" s="97" customFormat="1" ht="22.2" customHeight="1">
      <c r="B28" s="118"/>
      <c r="C28" s="119" t="s">
        <v>48</v>
      </c>
      <c r="D28" s="120"/>
      <c r="E28" s="162">
        <v>0</v>
      </c>
      <c r="F28" s="153">
        <f t="shared" si="0"/>
        <v>0</v>
      </c>
      <c r="G28" s="42">
        <v>0</v>
      </c>
      <c r="H28" s="33"/>
      <c r="I28" s="32"/>
      <c r="J28" s="45"/>
      <c r="K28" s="44"/>
    </row>
    <row r="29" spans="2:18" s="97" customFormat="1" ht="22.2" customHeight="1">
      <c r="B29" s="118"/>
      <c r="C29" s="121" t="s">
        <v>38</v>
      </c>
      <c r="D29" s="122"/>
      <c r="E29" s="163">
        <v>0</v>
      </c>
      <c r="F29" s="154">
        <f t="shared" si="0"/>
        <v>0</v>
      </c>
      <c r="G29" s="39">
        <v>0</v>
      </c>
      <c r="H29" s="31"/>
      <c r="I29" s="30"/>
      <c r="J29" s="68"/>
      <c r="K29" s="67"/>
    </row>
    <row r="30" spans="2:18" s="97" customFormat="1" ht="22.2" customHeight="1">
      <c r="B30" s="124"/>
      <c r="C30" s="125" t="s">
        <v>49</v>
      </c>
      <c r="D30" s="126" t="s">
        <v>50</v>
      </c>
      <c r="E30" s="155">
        <f>SUM(E26:E29)</f>
        <v>0</v>
      </c>
      <c r="F30" s="155">
        <f t="shared" si="0"/>
        <v>0</v>
      </c>
      <c r="G30" s="29">
        <f>SUM(G26:G29)</f>
        <v>0</v>
      </c>
      <c r="H30" s="28"/>
      <c r="I30" s="27"/>
      <c r="J30" s="49"/>
      <c r="K30" s="48"/>
    </row>
    <row r="31" spans="2:18" s="97" customFormat="1" ht="22.2" customHeight="1">
      <c r="B31" s="127" t="s">
        <v>51</v>
      </c>
      <c r="C31" s="125"/>
      <c r="D31" s="126" t="s">
        <v>52</v>
      </c>
      <c r="E31" s="155">
        <f>IF(OR(NOT(ISNUMBER(E23)),NOT(ISNUMBER(E25))),"",E19+E23-E24-E25-E30)</f>
        <v>0</v>
      </c>
      <c r="F31" s="152">
        <f>IF(OR(NOT(ISNUMBER(G31)),NOT(ISNUMBER(E31))),"",G31-E31)</f>
        <v>564900</v>
      </c>
      <c r="G31" s="43">
        <f>IF(OR(NOT(ISNUMBER(G23)),NOT(ISNUMBER(G25))),"",G19+G23-G24-G25-G30)</f>
        <v>564900</v>
      </c>
      <c r="H31" s="57"/>
      <c r="I31" s="56"/>
      <c r="J31" s="49"/>
      <c r="K31" s="48"/>
    </row>
    <row r="32" spans="2:18" s="97" customFormat="1" ht="22.2" customHeight="1">
      <c r="B32" s="116" t="s">
        <v>53</v>
      </c>
      <c r="C32" s="130"/>
      <c r="D32" s="117" t="s">
        <v>54</v>
      </c>
      <c r="E32" s="165">
        <v>0</v>
      </c>
      <c r="F32" s="156">
        <f t="shared" si="0"/>
        <v>0</v>
      </c>
      <c r="G32" s="36">
        <v>0</v>
      </c>
      <c r="H32" s="26"/>
      <c r="I32" s="25"/>
      <c r="J32" s="47"/>
      <c r="K32" s="46"/>
      <c r="Q32"/>
      <c r="R32"/>
    </row>
    <row r="33" spans="2:18" s="97" customFormat="1" ht="22.2" customHeight="1">
      <c r="B33" s="121"/>
      <c r="C33" s="121" t="s">
        <v>55</v>
      </c>
      <c r="D33" s="122" t="s">
        <v>56</v>
      </c>
      <c r="E33" s="163">
        <v>0</v>
      </c>
      <c r="F33" s="154">
        <f t="shared" si="0"/>
        <v>0</v>
      </c>
      <c r="G33" s="39">
        <v>0</v>
      </c>
      <c r="H33" s="38"/>
      <c r="I33" s="37"/>
      <c r="J33" s="68"/>
      <c r="K33" s="67"/>
      <c r="Q33"/>
      <c r="R33"/>
    </row>
    <row r="34" spans="2:18" s="97" customFormat="1" ht="22.2" customHeight="1">
      <c r="B34" s="127" t="s">
        <v>57</v>
      </c>
      <c r="C34" s="125"/>
      <c r="D34" s="126" t="s">
        <v>58</v>
      </c>
      <c r="E34" s="155">
        <f>IF(NOT(ISNUMBER(E31)),"",E31+E32-E33)</f>
        <v>0</v>
      </c>
      <c r="F34" s="155">
        <f>IF(OR(NOT(ISNUMBER(G34)),NOT(ISNUMBER(E34))),"",G34-E34)</f>
        <v>564900</v>
      </c>
      <c r="G34" s="24">
        <f>IF(NOT(ISNUMBER(G31)),"",G31+G32-G33)</f>
        <v>564900</v>
      </c>
      <c r="H34" s="23"/>
      <c r="I34" s="22"/>
      <c r="J34" s="49"/>
      <c r="K34" s="48"/>
    </row>
    <row r="35" spans="2:18" s="97" customFormat="1" ht="21.75" customHeight="1"/>
    <row r="36" spans="2:18" ht="21.75" customHeight="1">
      <c r="B36" s="92" t="str">
        <f>IF(NOT(ISNUMBER('3_CONTINUATION SHEET'!Q41)),"Check continuation sheet total.",IF(NOT(ISNUMBER(C25)),"Check retainage rate.",""))</f>
        <v/>
      </c>
      <c r="C36" s="92"/>
      <c r="D36" s="92"/>
      <c r="E36" s="92"/>
      <c r="F36" s="92"/>
      <c r="G36" s="92"/>
      <c r="H36" s="92"/>
      <c r="I36" s="92"/>
      <c r="J36" s="92"/>
      <c r="K36" s="92"/>
      <c r="Q36"/>
      <c r="R36"/>
    </row>
    <row r="37" spans="2:18" ht="24" customHeight="1">
      <c r="B37" s="91" t="s">
        <v>59</v>
      </c>
      <c r="C37" s="91"/>
      <c r="D37" s="91"/>
      <c r="E37" s="91"/>
      <c r="F37" s="91"/>
      <c r="G37" s="91"/>
      <c r="H37" s="91"/>
      <c r="I37" s="91"/>
      <c r="J37" s="91"/>
      <c r="K37" s="91"/>
    </row>
    <row r="38" spans="2:18" ht="24" customHeight="1">
      <c r="B38" s="160" t="s">
        <v>60</v>
      </c>
      <c r="C38" s="173"/>
      <c r="D38" s="160"/>
      <c r="E38" s="160"/>
      <c r="F38" s="160" t="s">
        <v>61</v>
      </c>
      <c r="G38" s="160"/>
      <c r="H38" s="90"/>
      <c r="I38" s="89"/>
      <c r="J38" s="89"/>
      <c r="K38" s="89"/>
    </row>
    <row r="39" spans="2:18" ht="24" customHeight="1">
      <c r="B39" s="160" t="s">
        <v>62</v>
      </c>
      <c r="C39" s="90"/>
      <c r="D39" s="89"/>
      <c r="E39" s="89"/>
      <c r="F39" s="89"/>
      <c r="G39" s="89"/>
      <c r="H39" s="89"/>
      <c r="I39" s="89"/>
      <c r="J39" s="89"/>
      <c r="K39" s="89"/>
    </row>
    <row r="40" spans="2:18" ht="24" customHeight="1">
      <c r="B40" s="160"/>
      <c r="C40" s="160"/>
      <c r="D40" s="160"/>
      <c r="E40" s="160"/>
      <c r="F40" s="160" t="s">
        <v>63</v>
      </c>
      <c r="G40" s="160"/>
      <c r="H40" s="90"/>
      <c r="I40" s="89"/>
      <c r="J40" s="89"/>
      <c r="K40" s="89"/>
    </row>
    <row r="41" spans="2:18" ht="24" customHeight="1">
      <c r="B41" s="160"/>
      <c r="C41" s="160"/>
      <c r="D41" s="160"/>
      <c r="E41" s="160"/>
      <c r="F41" s="160" t="s">
        <v>64</v>
      </c>
      <c r="G41" s="160"/>
      <c r="H41" s="139"/>
      <c r="I41" s="89"/>
      <c r="J41" s="89"/>
      <c r="K41" s="89"/>
    </row>
    <row r="42" spans="2:18" ht="30" customHeight="1">
      <c r="B42" s="93" t="s">
        <v>65</v>
      </c>
      <c r="C42" s="93"/>
      <c r="D42" s="93"/>
      <c r="E42" s="93"/>
      <c r="F42" s="93"/>
      <c r="G42" s="93"/>
      <c r="H42" s="93"/>
      <c r="I42" s="93"/>
      <c r="J42" s="93"/>
      <c r="K42" s="93"/>
    </row>
    <row r="43" spans="2:18" ht="30" customHeight="1">
      <c r="B43" s="93" t="s">
        <v>66</v>
      </c>
      <c r="C43" s="93"/>
      <c r="D43" s="93"/>
      <c r="E43" s="93"/>
      <c r="F43" s="93"/>
      <c r="G43" s="93"/>
      <c r="H43" s="93"/>
      <c r="I43" s="93"/>
      <c r="J43" s="93"/>
      <c r="K43" s="93"/>
    </row>
  </sheetData>
  <mergeCells count="64">
    <mergeCell ref="G30:I30"/>
    <mergeCell ref="G31:I31"/>
    <mergeCell ref="G32:I32"/>
    <mergeCell ref="G33:I33"/>
    <mergeCell ref="G34:I34"/>
    <mergeCell ref="G25:I25"/>
    <mergeCell ref="G26:I26"/>
    <mergeCell ref="G27:I27"/>
    <mergeCell ref="G28:I28"/>
    <mergeCell ref="G29:I29"/>
    <mergeCell ref="G20:I20"/>
    <mergeCell ref="G21:I21"/>
    <mergeCell ref="G22:I22"/>
    <mergeCell ref="G23:I23"/>
    <mergeCell ref="G24:I24"/>
    <mergeCell ref="J34:K34"/>
    <mergeCell ref="J23:K23"/>
    <mergeCell ref="J24:K24"/>
    <mergeCell ref="J25:K25"/>
    <mergeCell ref="J26:K26"/>
    <mergeCell ref="J27:K27"/>
    <mergeCell ref="J28:K28"/>
    <mergeCell ref="J29:K29"/>
    <mergeCell ref="J30:K30"/>
    <mergeCell ref="J31:K31"/>
    <mergeCell ref="J32:K32"/>
    <mergeCell ref="J33:K33"/>
    <mergeCell ref="J22:K22"/>
    <mergeCell ref="M14:M15"/>
    <mergeCell ref="F15:G15"/>
    <mergeCell ref="H15:K15"/>
    <mergeCell ref="C16:E16"/>
    <mergeCell ref="F16:G16"/>
    <mergeCell ref="H16:K16"/>
    <mergeCell ref="M16:M18"/>
    <mergeCell ref="I17:K17"/>
    <mergeCell ref="B18:D18"/>
    <mergeCell ref="G18:I18"/>
    <mergeCell ref="J18:K18"/>
    <mergeCell ref="G19:I19"/>
    <mergeCell ref="J19:K19"/>
    <mergeCell ref="J20:K20"/>
    <mergeCell ref="J21:K21"/>
    <mergeCell ref="C13:E13"/>
    <mergeCell ref="F13:G13"/>
    <mergeCell ref="H13:K13"/>
    <mergeCell ref="C14:E14"/>
    <mergeCell ref="F14:G14"/>
    <mergeCell ref="H14:K14"/>
    <mergeCell ref="B5:G7"/>
    <mergeCell ref="H5:H7"/>
    <mergeCell ref="F10:G10"/>
    <mergeCell ref="J10:K10"/>
    <mergeCell ref="C12:E12"/>
    <mergeCell ref="F12:G12"/>
    <mergeCell ref="H12:K12"/>
    <mergeCell ref="B42:K42"/>
    <mergeCell ref="B43:K43"/>
    <mergeCell ref="B36:K36"/>
    <mergeCell ref="B37:K37"/>
    <mergeCell ref="H38:K38"/>
    <mergeCell ref="C39:K39"/>
    <mergeCell ref="H40:K40"/>
    <mergeCell ref="H41:K41"/>
  </mergeCells>
  <phoneticPr fontId="35" type="noConversion"/>
  <dataValidations count="1">
    <dataValidation type="decimal" sqref="C25" xr:uid="{00000000-0002-0000-0000-000000000000}">
      <formula1>0</formula1>
      <formula2>1</formula2>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9"/>
  <sheetViews>
    <sheetView showGridLines="0" topLeftCell="A4" workbookViewId="0">
      <selection activeCell="Q31" sqref="Q31"/>
    </sheetView>
  </sheetViews>
  <sheetFormatPr defaultColWidth="8.8984375" defaultRowHeight="13.2"/>
  <cols>
    <col min="1" max="1" width="2.69921875" style="133" customWidth="1"/>
    <col min="2" max="2" width="13.09765625" style="133" customWidth="1"/>
    <col min="3" max="3" width="8.8984375" style="133"/>
    <col min="4" max="4" width="11.3984375" style="133" customWidth="1"/>
    <col min="5" max="5" width="13.3984375" style="133" customWidth="1"/>
    <col min="6" max="6" width="17.59765625" style="133" customWidth="1"/>
    <col min="7" max="7" width="9.59765625" style="133" customWidth="1"/>
    <col min="8" max="9" width="8.8984375" style="133"/>
    <col min="10" max="10" width="7.3984375" style="133" customWidth="1"/>
    <col min="11" max="11" width="8.8984375" style="133"/>
    <col min="12" max="12" width="4.3984375" style="133" customWidth="1"/>
    <col min="13" max="13" width="12.69921875" style="133" customWidth="1"/>
    <col min="14" max="14" width="15.09765625" style="133" customWidth="1"/>
    <col min="15" max="15" width="8.8984375" style="133"/>
    <col min="16" max="16" width="14.69921875" style="133" customWidth="1"/>
    <col min="17" max="16384" width="8.8984375" style="133"/>
  </cols>
  <sheetData>
    <row r="1" spans="1:14" ht="15.6">
      <c r="A1" s="131" t="s">
        <v>67</v>
      </c>
      <c r="B1" s="132"/>
      <c r="C1" s="132"/>
      <c r="D1" s="132"/>
      <c r="E1" s="132"/>
      <c r="F1" s="132"/>
      <c r="G1" s="132"/>
      <c r="H1" s="132"/>
      <c r="I1" s="132"/>
      <c r="J1" s="132"/>
      <c r="K1" s="132"/>
      <c r="L1" s="132"/>
      <c r="M1" s="132"/>
      <c r="N1" s="132"/>
    </row>
    <row r="2" spans="1:14" ht="24" customHeight="1">
      <c r="A2" s="133" t="s">
        <v>68</v>
      </c>
      <c r="C2" s="137" t="str">
        <f>IF('1_PROGRESS PAYMENT'!$K$11="","",'1_PROGRESS PAYMENT'!$K$11)</f>
        <v/>
      </c>
      <c r="F2" s="135" t="s">
        <v>69</v>
      </c>
      <c r="G2" s="137" t="str">
        <f>'1_PROGRESS PAYMENT'!C12</f>
        <v>HL-GA Battery Project</v>
      </c>
      <c r="K2" s="135" t="s">
        <v>70</v>
      </c>
      <c r="L2" s="12"/>
      <c r="M2" s="11" t="str">
        <f>IF('1_PROGRESS PAYMENT'!$C$38="","",'1_PROGRESS PAYMENT'!$C$38)</f>
        <v/>
      </c>
      <c r="N2" s="10"/>
    </row>
    <row r="3" spans="1:14" ht="24" customHeight="1">
      <c r="C3" s="137"/>
      <c r="G3" s="137"/>
      <c r="K3" s="135" t="s">
        <v>71</v>
      </c>
      <c r="L3" s="12"/>
      <c r="M3" s="9" t="str">
        <f>IF('1_PROGRESS PAYMENT'!$H$38="","",'1_PROGRESS PAYMENT'!$H$38)</f>
        <v/>
      </c>
      <c r="N3" s="10"/>
    </row>
    <row r="4" spans="1:14" ht="24" customHeight="1">
      <c r="C4" s="137"/>
      <c r="K4" s="135" t="s">
        <v>72</v>
      </c>
      <c r="L4" s="12"/>
      <c r="M4" s="8" t="str">
        <f>IF('1_PROGRESS PAYMENT'!$H$40="","",'1_PROGRESS PAYMENT'!$H$40)</f>
        <v/>
      </c>
      <c r="N4" s="10"/>
    </row>
    <row r="5" spans="1:14" ht="24" customHeight="1">
      <c r="K5" s="135" t="s">
        <v>73</v>
      </c>
      <c r="L5" s="12"/>
      <c r="M5" s="7" t="str">
        <f>IF('1_PROGRESS PAYMENT'!$H$12="","",'1_PROGRESS PAYMENT'!$H$12)</f>
        <v/>
      </c>
      <c r="N5" s="10"/>
    </row>
    <row r="6" spans="1:14" ht="24" customHeight="1">
      <c r="K6" s="135" t="s">
        <v>74</v>
      </c>
      <c r="L6" s="12"/>
      <c r="M6" s="6" t="str">
        <f>IF('1_PROGRESS PAYMENT'!$C$10="","",'1_PROGRESS PAYMENT'!$C$10)</f>
        <v/>
      </c>
      <c r="N6" s="10"/>
    </row>
    <row r="7" spans="1:14" ht="24" customHeight="1">
      <c r="A7" s="140" t="s">
        <v>75</v>
      </c>
      <c r="B7" s="141"/>
      <c r="C7" s="18" t="str">
        <f>IF('1_PROGRESS PAYMENT'!$C$13="","",'1_PROGRESS PAYMENT'!$C$13)</f>
        <v>Nahshon MEP</v>
      </c>
      <c r="D7" s="17"/>
      <c r="E7" s="16"/>
      <c r="K7" s="135" t="s">
        <v>76</v>
      </c>
      <c r="L7" s="12"/>
      <c r="M7" s="8" t="str">
        <f>IF('1_PROGRESS PAYMENT'!$H$12="","",'1_PROGRESS PAYMENT'!F10)</f>
        <v/>
      </c>
      <c r="N7" s="10"/>
    </row>
    <row r="8" spans="1:14">
      <c r="A8" s="141"/>
      <c r="B8" s="141"/>
      <c r="C8" s="15" t="str">
        <f>IF('1_PROGRESS PAYMENT'!$C$39="","",'1_PROGRESS PAYMENT'!$C$39)</f>
        <v/>
      </c>
      <c r="D8" s="14"/>
      <c r="E8" s="13"/>
      <c r="F8" s="136"/>
      <c r="M8" s="143"/>
    </row>
    <row r="9" spans="1:14">
      <c r="A9" s="141"/>
      <c r="B9" s="141"/>
      <c r="C9" s="15"/>
      <c r="D9" s="14"/>
      <c r="E9" s="13"/>
      <c r="F9" s="136"/>
      <c r="M9" s="137"/>
    </row>
    <row r="11" spans="1:14">
      <c r="A11" s="132"/>
      <c r="B11" s="132"/>
      <c r="C11" s="132"/>
      <c r="D11" s="132"/>
      <c r="E11" s="132"/>
      <c r="F11" s="132"/>
      <c r="G11" s="132"/>
      <c r="H11" s="132"/>
      <c r="I11" s="132"/>
      <c r="J11" s="132"/>
      <c r="K11" s="132"/>
      <c r="L11" s="132"/>
      <c r="M11" s="132"/>
      <c r="N11" s="132"/>
    </row>
    <row r="13" spans="1:14" ht="15.6">
      <c r="A13" s="139" t="s">
        <v>77</v>
      </c>
      <c r="G13" s="136" t="s">
        <v>78</v>
      </c>
    </row>
    <row r="14" spans="1:14">
      <c r="A14" s="138" t="s">
        <v>79</v>
      </c>
      <c r="G14" s="136" t="s">
        <v>80</v>
      </c>
    </row>
    <row r="15" spans="1:14">
      <c r="G15" s="136" t="s">
        <v>81</v>
      </c>
    </row>
    <row r="16" spans="1:14">
      <c r="A16" s="133">
        <v>1</v>
      </c>
      <c r="B16" s="144" t="s">
        <v>82</v>
      </c>
      <c r="F16" s="145">
        <f>'3_CONTINUATION SHEET'!K41</f>
        <v>1789000</v>
      </c>
      <c r="G16" s="136" t="s">
        <v>83</v>
      </c>
    </row>
    <row r="17" spans="1:16">
      <c r="G17" s="136" t="s">
        <v>84</v>
      </c>
    </row>
    <row r="18" spans="1:16">
      <c r="A18" s="133">
        <v>2</v>
      </c>
      <c r="B18" s="144" t="s">
        <v>85</v>
      </c>
      <c r="F18" s="167">
        <v>0</v>
      </c>
    </row>
    <row r="19" spans="1:16">
      <c r="G19" s="136" t="s">
        <v>86</v>
      </c>
      <c r="H19" s="137" t="str">
        <f>IF('1_PROGRESS PAYMENT'!$C$13="","",'1_PROGRESS PAYMENT'!$C$13)</f>
        <v>Nahshon MEP</v>
      </c>
    </row>
    <row r="20" spans="1:16">
      <c r="A20" s="133">
        <v>3</v>
      </c>
      <c r="B20" s="144" t="s">
        <v>87</v>
      </c>
      <c r="F20" s="146">
        <f>SUM(F16:F19)</f>
        <v>1789000</v>
      </c>
      <c r="H20" s="137"/>
    </row>
    <row r="21" spans="1:16">
      <c r="G21" s="147" t="s">
        <v>88</v>
      </c>
      <c r="H21" s="148"/>
      <c r="I21" s="148"/>
      <c r="J21" s="148"/>
      <c r="L21" s="147" t="s">
        <v>89</v>
      </c>
      <c r="M21" s="149"/>
    </row>
    <row r="22" spans="1:16">
      <c r="A22" s="133">
        <v>4</v>
      </c>
      <c r="B22" s="144" t="s">
        <v>90</v>
      </c>
      <c r="F22" s="146">
        <f>IF(NOT(ISNUMBER('1_PROGRESS PAYMENT'!G23)),"",'1_PROGRESS PAYMENT'!G23)</f>
        <v>218000</v>
      </c>
      <c r="G22" s="133" t="s">
        <v>91</v>
      </c>
    </row>
    <row r="23" spans="1:16">
      <c r="G23" s="136" t="s">
        <v>92</v>
      </c>
      <c r="H23" s="137"/>
    </row>
    <row r="24" spans="1:16">
      <c r="A24" s="133">
        <v>5</v>
      </c>
      <c r="B24" s="137" t="s">
        <v>93</v>
      </c>
      <c r="G24" s="133" t="s">
        <v>94</v>
      </c>
      <c r="H24" s="137"/>
    </row>
    <row r="25" spans="1:16">
      <c r="B25" s="137"/>
      <c r="G25" s="133" t="s">
        <v>95</v>
      </c>
      <c r="P25" s="157"/>
    </row>
    <row r="26" spans="1:16" ht="13.8">
      <c r="B26" s="21" t="s">
        <v>96</v>
      </c>
      <c r="C26" s="20"/>
      <c r="D26" s="19"/>
      <c r="E26" s="166">
        <f>IF(NOT(ISNUMBER('1_PROGRESS PAYMENT'!G25)),"",'1_PROGRESS PAYMENT'!G25)</f>
        <v>10900</v>
      </c>
      <c r="G26" s="136" t="s">
        <v>97</v>
      </c>
      <c r="I26" s="142"/>
      <c r="J26" s="142"/>
    </row>
    <row r="28" spans="1:16" ht="13.8">
      <c r="B28" s="20" t="s">
        <v>98</v>
      </c>
      <c r="C28" s="20"/>
      <c r="D28" s="19"/>
      <c r="E28" s="166">
        <f>'1_PROGRESS PAYMENT'!G24+'1_PROGRESS PAYMENT'!G30+'1_PROGRESS PAYMENT'!G33-'1_PROGRESS PAYMENT'!G19-'1_PROGRESS PAYMENT'!G32</f>
        <v>-357800</v>
      </c>
      <c r="G28" s="133" t="s">
        <v>99</v>
      </c>
    </row>
    <row r="29" spans="1:16">
      <c r="G29" s="133" t="s">
        <v>100</v>
      </c>
    </row>
    <row r="30" spans="1:16">
      <c r="B30" s="144" t="s">
        <v>101</v>
      </c>
      <c r="F30" s="146">
        <f>IF(NOT(ISNUMBER(E26)),"",SUM(E26,E28))</f>
        <v>-346900</v>
      </c>
      <c r="G30" s="132"/>
      <c r="H30" s="132"/>
      <c r="I30" s="132"/>
      <c r="J30" s="132"/>
      <c r="K30" s="132"/>
      <c r="L30" s="132"/>
      <c r="M30" s="132"/>
      <c r="N30" s="132"/>
    </row>
    <row r="32" spans="1:16" ht="15.6">
      <c r="A32" s="133">
        <v>6</v>
      </c>
      <c r="B32" s="144" t="s">
        <v>102</v>
      </c>
      <c r="F32" s="146">
        <f>IF(OR(NOT(ISNUMBER(F22)),NOT(ISNUMBER(F30))),"",F22-F30)</f>
        <v>564900</v>
      </c>
      <c r="G32" s="139" t="s">
        <v>103</v>
      </c>
    </row>
    <row r="33" spans="1:13">
      <c r="B33" s="133" t="s">
        <v>104</v>
      </c>
    </row>
    <row r="34" spans="1:13">
      <c r="G34" s="133" t="s">
        <v>105</v>
      </c>
    </row>
    <row r="35" spans="1:13">
      <c r="A35" s="133">
        <v>7</v>
      </c>
      <c r="B35" s="144" t="s">
        <v>106</v>
      </c>
      <c r="F35" s="166">
        <f>IF(NOT(ISNUMBER('1_PROGRESS PAYMENT'!E34)),"",'1_PROGRESS PAYMENT'!E34)</f>
        <v>0</v>
      </c>
      <c r="G35" s="133" t="s">
        <v>107</v>
      </c>
    </row>
    <row r="36" spans="1:13">
      <c r="B36" s="133" t="s">
        <v>108</v>
      </c>
      <c r="G36" s="133" t="s">
        <v>109</v>
      </c>
    </row>
    <row r="37" spans="1:13">
      <c r="G37" s="133" t="s">
        <v>110</v>
      </c>
    </row>
    <row r="38" spans="1:13">
      <c r="A38" s="133">
        <v>8</v>
      </c>
      <c r="B38" s="144" t="s">
        <v>111</v>
      </c>
      <c r="F38" s="150">
        <f>IF(OR(NOT(ISNUMBER(F32)),NOT(ISNUMBER(F35))),"",F32-F35)</f>
        <v>564900</v>
      </c>
    </row>
    <row r="39" spans="1:13">
      <c r="G39" s="133" t="s">
        <v>112</v>
      </c>
      <c r="M39" s="146">
        <f>IF(NOT(ISNUMBER(F38)),"",F38)</f>
        <v>564900</v>
      </c>
    </row>
    <row r="40" spans="1:13">
      <c r="A40" s="133">
        <v>9</v>
      </c>
      <c r="B40" s="133" t="s">
        <v>113</v>
      </c>
      <c r="G40" s="151" t="s">
        <v>114</v>
      </c>
    </row>
    <row r="41" spans="1:13">
      <c r="B41" s="133" t="s">
        <v>115</v>
      </c>
      <c r="E41" s="145">
        <f>IF(NOT(ISNUMBER(F32)),"",F20-F32)</f>
        <v>1224100</v>
      </c>
      <c r="F41" s="145"/>
      <c r="G41" s="151" t="s">
        <v>116</v>
      </c>
    </row>
    <row r="43" spans="1:13">
      <c r="A43" s="134"/>
      <c r="B43" s="134"/>
      <c r="C43" s="134"/>
      <c r="D43" s="134"/>
      <c r="E43" s="134"/>
      <c r="F43" s="134"/>
      <c r="G43" s="133" t="s">
        <v>117</v>
      </c>
    </row>
    <row r="44" spans="1:13">
      <c r="A44" s="134"/>
      <c r="B44" s="134"/>
      <c r="C44" s="134"/>
      <c r="D44" s="134"/>
      <c r="E44" s="134"/>
      <c r="F44" s="134"/>
    </row>
    <row r="45" spans="1:13">
      <c r="A45" s="134"/>
      <c r="B45" s="134"/>
      <c r="C45" s="134"/>
      <c r="D45" s="134"/>
      <c r="E45" s="134"/>
      <c r="F45" s="134"/>
      <c r="G45" s="148" t="s">
        <v>88</v>
      </c>
      <c r="H45" s="148"/>
      <c r="I45" s="148"/>
      <c r="J45" s="148"/>
      <c r="L45" s="148" t="s">
        <v>118</v>
      </c>
      <c r="M45" s="148"/>
    </row>
    <row r="46" spans="1:13">
      <c r="A46" s="134"/>
      <c r="B46" s="134"/>
      <c r="C46" s="134"/>
      <c r="D46" s="134"/>
      <c r="E46" s="134"/>
      <c r="F46" s="134"/>
    </row>
    <row r="47" spans="1:13">
      <c r="A47" s="134"/>
      <c r="B47" s="134"/>
      <c r="C47" s="134"/>
      <c r="D47" s="134"/>
      <c r="E47" s="134"/>
      <c r="F47" s="134"/>
      <c r="G47" s="136" t="s">
        <v>119</v>
      </c>
    </row>
    <row r="48" spans="1:13">
      <c r="A48" s="134"/>
      <c r="B48" s="134"/>
      <c r="C48" s="134"/>
      <c r="D48" s="134"/>
      <c r="E48" s="134"/>
      <c r="F48" s="134"/>
      <c r="G48" s="133" t="s">
        <v>120</v>
      </c>
    </row>
    <row r="49" spans="1:14">
      <c r="A49" s="132"/>
      <c r="B49" s="132"/>
      <c r="C49" s="132"/>
      <c r="D49" s="132"/>
      <c r="E49" s="132"/>
      <c r="F49" s="132"/>
      <c r="G49" s="132" t="s">
        <v>121</v>
      </c>
      <c r="H49" s="132"/>
      <c r="I49" s="132"/>
      <c r="J49" s="132"/>
      <c r="K49" s="132"/>
      <c r="L49" s="132"/>
      <c r="M49" s="132"/>
      <c r="N49" s="132"/>
    </row>
  </sheetData>
  <mergeCells count="16">
    <mergeCell ref="M5:N5"/>
    <mergeCell ref="K6:L6"/>
    <mergeCell ref="M6:N6"/>
    <mergeCell ref="K7:L7"/>
    <mergeCell ref="M7:N7"/>
    <mergeCell ref="M2:N2"/>
    <mergeCell ref="K3:L3"/>
    <mergeCell ref="M3:N3"/>
    <mergeCell ref="K4:L4"/>
    <mergeCell ref="M4:N4"/>
    <mergeCell ref="B26:D26"/>
    <mergeCell ref="B28:D28"/>
    <mergeCell ref="C7:E7"/>
    <mergeCell ref="C8:F9"/>
    <mergeCell ref="K2:L2"/>
    <mergeCell ref="K5:L5"/>
  </mergeCells>
  <phoneticPr fontId="3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autoPageBreaks="0" fitToPage="1"/>
  </sheetPr>
  <dimension ref="A1:Z489"/>
  <sheetViews>
    <sheetView tabSelected="1" zoomScaleNormal="100" workbookViewId="0">
      <pane xSplit="5" ySplit="11" topLeftCell="K12" activePane="bottomRight" state="frozen"/>
      <selection pane="topRight" activeCell="F1" sqref="F1"/>
      <selection pane="bottomLeft" activeCell="A12" sqref="A12"/>
      <selection pane="bottomRight" activeCell="C25" sqref="C25"/>
    </sheetView>
  </sheetViews>
  <sheetFormatPr defaultColWidth="10.09765625" defaultRowHeight="13.2"/>
  <cols>
    <col min="1" max="1" width="6.5" style="174" customWidth="1"/>
    <col min="2" max="2" width="7.8984375" style="174" customWidth="1"/>
    <col min="3" max="3" width="30.296875" style="174" customWidth="1"/>
    <col min="4" max="4" width="13.09765625" style="174" customWidth="1"/>
    <col min="5" max="5" width="5.296875" style="175" customWidth="1"/>
    <col min="6" max="6" width="7.59765625" style="174" customWidth="1"/>
    <col min="7" max="9" width="10" style="174" customWidth="1"/>
    <col min="10" max="10" width="9.796875" style="174" customWidth="1"/>
    <col min="11" max="11" width="17.796875" style="174" customWidth="1"/>
    <col min="12" max="12" width="10.5" style="174" customWidth="1"/>
    <col min="13" max="13" width="16.09765625" style="174" customWidth="1"/>
    <col min="14" max="14" width="9.5" style="174" customWidth="1"/>
    <col min="15" max="15" width="19.19921875" style="174" customWidth="1"/>
    <col min="16" max="16" width="10.5" style="174" customWidth="1"/>
    <col min="17" max="17" width="14.3984375" style="174" customWidth="1"/>
    <col min="18" max="18" width="6.8984375" style="174" customWidth="1"/>
    <col min="19" max="19" width="8.69921875" style="174" customWidth="1"/>
    <col min="20" max="20" width="14.3984375" style="174" customWidth="1"/>
    <col min="21" max="21" width="18.8984375" style="174" customWidth="1"/>
    <col min="22" max="22" width="14.8984375" style="174" hidden="1" customWidth="1"/>
    <col min="23" max="23" width="15.5" style="174" hidden="1" customWidth="1"/>
    <col min="24" max="24" width="14.296875" style="174" customWidth="1"/>
    <col min="25" max="26" width="16.69921875" style="174" customWidth="1"/>
    <col min="27" max="27" width="18.5" style="174" customWidth="1"/>
    <col min="28" max="28" width="15.69921875" style="174" customWidth="1"/>
    <col min="29" max="29" width="13.3984375" style="174" customWidth="1"/>
    <col min="30" max="16384" width="10.09765625" style="174"/>
  </cols>
  <sheetData>
    <row r="1" spans="2:26" ht="15.6">
      <c r="B1" s="176" t="s">
        <v>122</v>
      </c>
      <c r="C1" s="177"/>
      <c r="D1" s="177"/>
      <c r="E1" s="178"/>
      <c r="F1" s="177"/>
      <c r="G1" s="177"/>
      <c r="H1" s="177"/>
      <c r="I1" s="177"/>
      <c r="J1" s="177"/>
      <c r="K1" s="177"/>
      <c r="L1" s="177"/>
      <c r="M1" s="177"/>
      <c r="N1" s="177"/>
      <c r="O1" s="177"/>
      <c r="P1" s="177"/>
      <c r="Q1" s="177"/>
      <c r="R1" s="177"/>
      <c r="U1" s="177"/>
    </row>
    <row r="2" spans="2:26">
      <c r="R2" s="179"/>
      <c r="S2" s="180"/>
      <c r="T2" s="181" t="s">
        <v>123</v>
      </c>
      <c r="U2" s="182">
        <v>1</v>
      </c>
    </row>
    <row r="3" spans="2:26" ht="14.25" customHeight="1">
      <c r="B3" s="174" t="s">
        <v>124</v>
      </c>
      <c r="R3" s="179"/>
      <c r="T3" s="179" t="s">
        <v>125</v>
      </c>
      <c r="U3" s="183">
        <v>46285</v>
      </c>
    </row>
    <row r="4" spans="2:26" ht="14.25" customHeight="1">
      <c r="B4" s="174" t="s">
        <v>126</v>
      </c>
      <c r="R4" s="179"/>
      <c r="T4" s="179" t="s">
        <v>127</v>
      </c>
      <c r="U4" s="184" t="s">
        <v>128</v>
      </c>
    </row>
    <row r="5" spans="2:26" ht="14.25" customHeight="1">
      <c r="B5" s="185" t="s">
        <v>129</v>
      </c>
      <c r="I5" s="186"/>
      <c r="J5" s="186"/>
    </row>
    <row r="6" spans="2:26" ht="14.25" customHeight="1">
      <c r="B6" s="185" t="s">
        <v>130</v>
      </c>
      <c r="X6" s="187"/>
    </row>
    <row r="7" spans="2:26" ht="6.75" customHeight="1"/>
    <row r="8" spans="2:26" ht="21" customHeight="1">
      <c r="B8" s="188" t="s">
        <v>131</v>
      </c>
      <c r="C8" s="5" t="s">
        <v>132</v>
      </c>
      <c r="D8" s="5"/>
      <c r="E8" s="5"/>
      <c r="F8" s="5" t="s">
        <v>133</v>
      </c>
      <c r="G8" s="5"/>
      <c r="H8" s="5"/>
      <c r="I8" s="5"/>
      <c r="J8" s="5"/>
      <c r="K8" s="5"/>
      <c r="L8" s="5" t="s">
        <v>134</v>
      </c>
      <c r="M8" s="5"/>
      <c r="N8" s="5" t="s">
        <v>135</v>
      </c>
      <c r="O8" s="5"/>
      <c r="P8" s="5" t="s">
        <v>136</v>
      </c>
      <c r="Q8" s="5"/>
      <c r="R8" s="5"/>
      <c r="S8" s="5" t="s">
        <v>137</v>
      </c>
      <c r="T8" s="5"/>
      <c r="U8" s="189" t="s">
        <v>138</v>
      </c>
      <c r="X8" s="190"/>
      <c r="Y8" s="187"/>
      <c r="Z8" s="191"/>
    </row>
    <row r="9" spans="2:26" s="192" customFormat="1" ht="12.75" customHeight="1">
      <c r="B9" s="4" t="s">
        <v>139</v>
      </c>
      <c r="C9" s="3" t="s">
        <v>140</v>
      </c>
      <c r="D9" s="3" t="s">
        <v>141</v>
      </c>
      <c r="E9" s="3" t="s">
        <v>142</v>
      </c>
      <c r="F9" s="3" t="s">
        <v>143</v>
      </c>
      <c r="G9" s="3"/>
      <c r="H9" s="3"/>
      <c r="I9" s="3"/>
      <c r="J9" s="3"/>
      <c r="K9" s="3"/>
      <c r="L9" s="3" t="s">
        <v>144</v>
      </c>
      <c r="M9" s="3"/>
      <c r="N9" s="3"/>
      <c r="O9" s="3"/>
      <c r="P9" s="2" t="s">
        <v>145</v>
      </c>
      <c r="Q9" s="2"/>
      <c r="R9" s="3" t="s">
        <v>146</v>
      </c>
      <c r="S9" s="2" t="s">
        <v>147</v>
      </c>
      <c r="T9" s="2"/>
      <c r="U9" s="4" t="s">
        <v>148</v>
      </c>
      <c r="W9" s="193"/>
    </row>
    <row r="10" spans="2:26" s="192" customFormat="1">
      <c r="B10" s="4"/>
      <c r="C10" s="3"/>
      <c r="D10" s="3"/>
      <c r="E10" s="3"/>
      <c r="F10" s="3"/>
      <c r="G10" s="3"/>
      <c r="H10" s="3"/>
      <c r="I10" s="3"/>
      <c r="J10" s="3"/>
      <c r="K10" s="3"/>
      <c r="L10" s="1" t="s">
        <v>149</v>
      </c>
      <c r="M10" s="1"/>
      <c r="N10" s="1" t="s">
        <v>150</v>
      </c>
      <c r="O10" s="1"/>
      <c r="P10" s="2"/>
      <c r="Q10" s="2"/>
      <c r="R10" s="3"/>
      <c r="S10" s="2"/>
      <c r="T10" s="2"/>
      <c r="U10" s="4"/>
      <c r="Z10" s="195"/>
    </row>
    <row r="11" spans="2:26">
      <c r="B11" s="4"/>
      <c r="C11" s="3"/>
      <c r="D11" s="3"/>
      <c r="E11" s="3"/>
      <c r="F11" s="194" t="s">
        <v>151</v>
      </c>
      <c r="G11" s="194" t="s">
        <v>152</v>
      </c>
      <c r="H11" s="194" t="s">
        <v>153</v>
      </c>
      <c r="I11" s="194" t="s">
        <v>154</v>
      </c>
      <c r="J11" s="194" t="s">
        <v>155</v>
      </c>
      <c r="K11" s="194" t="s">
        <v>156</v>
      </c>
      <c r="L11" s="189" t="s">
        <v>151</v>
      </c>
      <c r="M11" s="189" t="s">
        <v>156</v>
      </c>
      <c r="N11" s="189" t="s">
        <v>151</v>
      </c>
      <c r="O11" s="189" t="s">
        <v>156</v>
      </c>
      <c r="P11" s="189" t="s">
        <v>151</v>
      </c>
      <c r="Q11" s="189" t="s">
        <v>156</v>
      </c>
      <c r="R11" s="3"/>
      <c r="S11" s="189" t="s">
        <v>151</v>
      </c>
      <c r="T11" s="189" t="s">
        <v>156</v>
      </c>
      <c r="U11" s="4"/>
    </row>
    <row r="12" spans="2:26" s="196" customFormat="1" ht="17.25" customHeight="1">
      <c r="B12" s="197">
        <v>1</v>
      </c>
      <c r="C12" s="198" t="s">
        <v>157</v>
      </c>
      <c r="D12" s="199"/>
      <c r="E12" s="200" t="s">
        <v>158</v>
      </c>
      <c r="F12" s="201">
        <v>1</v>
      </c>
      <c r="G12" s="201"/>
      <c r="H12" s="201"/>
      <c r="I12" s="201"/>
      <c r="J12" s="202"/>
      <c r="K12" s="203">
        <f>TRUNC(SUM(K13:K21),2)</f>
        <v>744998.1</v>
      </c>
      <c r="L12" s="202"/>
      <c r="M12" s="203">
        <f>TRUNC(SUM(M13:M21),2)</f>
        <v>0</v>
      </c>
      <c r="N12" s="202">
        <f>N49+N56+N65+N74+N84+N89+N103+N121+N169+N176+N195+N230+N264+N277+N288</f>
        <v>0</v>
      </c>
      <c r="O12" s="203">
        <f>TRUNC(SUM(O13:O21),2)</f>
        <v>132127.07999999999</v>
      </c>
      <c r="P12" s="202">
        <f>L12+N12</f>
        <v>0</v>
      </c>
      <c r="Q12" s="203">
        <f>TRUNC(SUM(Q13:Q21),2)</f>
        <v>132127.07999999999</v>
      </c>
      <c r="R12" s="204">
        <f t="shared" ref="R12:R38" si="0">Q12/K12</f>
        <v>0.17735223754261922</v>
      </c>
      <c r="S12" s="205"/>
      <c r="T12" s="205">
        <f>TRUNC(SUM(T13:T21),2)</f>
        <v>339684.89</v>
      </c>
      <c r="U12" s="205"/>
      <c r="X12" s="191"/>
      <c r="Y12" s="174"/>
      <c r="Z12" s="191"/>
    </row>
    <row r="13" spans="2:26" s="196" customFormat="1" ht="17.25" customHeight="1">
      <c r="B13" s="206"/>
      <c r="C13" s="207" t="str">
        <f>C44</f>
        <v>1) TEMPORARY</v>
      </c>
      <c r="D13" s="208"/>
      <c r="E13" s="209" t="s">
        <v>158</v>
      </c>
      <c r="F13" s="210">
        <v>1</v>
      </c>
      <c r="G13" s="210"/>
      <c r="H13" s="210"/>
      <c r="I13" s="210"/>
      <c r="J13" s="211"/>
      <c r="K13" s="212">
        <f>K49</f>
        <v>37554</v>
      </c>
      <c r="L13" s="211"/>
      <c r="M13" s="212">
        <f>M49</f>
        <v>0</v>
      </c>
      <c r="N13" s="211"/>
      <c r="O13" s="212">
        <f>O49</f>
        <v>0</v>
      </c>
      <c r="P13" s="211"/>
      <c r="Q13" s="212">
        <f>Q49</f>
        <v>0</v>
      </c>
      <c r="R13" s="213">
        <f t="shared" si="0"/>
        <v>0</v>
      </c>
      <c r="S13" s="214"/>
      <c r="T13" s="214">
        <f>T49</f>
        <v>37554</v>
      </c>
      <c r="U13" s="214"/>
      <c r="X13" s="191"/>
      <c r="Y13" s="174"/>
      <c r="Z13" s="174"/>
    </row>
    <row r="14" spans="2:26" s="196" customFormat="1" ht="17.25" customHeight="1">
      <c r="B14" s="206"/>
      <c r="C14" s="207" t="str">
        <f>C50</f>
        <v>2) DOOR, WINDOW</v>
      </c>
      <c r="D14" s="208"/>
      <c r="E14" s="209" t="s">
        <v>158</v>
      </c>
      <c r="F14" s="210">
        <v>1</v>
      </c>
      <c r="G14" s="210"/>
      <c r="H14" s="210"/>
      <c r="I14" s="210"/>
      <c r="J14" s="211"/>
      <c r="K14" s="212">
        <f>K56</f>
        <v>25683.440000000002</v>
      </c>
      <c r="L14" s="211"/>
      <c r="M14" s="212">
        <f>M56</f>
        <v>0</v>
      </c>
      <c r="N14" s="211"/>
      <c r="O14" s="212">
        <f>O56</f>
        <v>0</v>
      </c>
      <c r="P14" s="211"/>
      <c r="Q14" s="212">
        <f>Q56</f>
        <v>0</v>
      </c>
      <c r="R14" s="213">
        <f t="shared" si="0"/>
        <v>0</v>
      </c>
      <c r="S14" s="214"/>
      <c r="T14" s="214">
        <f>T56</f>
        <v>25683.440000000002</v>
      </c>
      <c r="U14" s="214"/>
      <c r="X14" s="191"/>
      <c r="Y14" s="174"/>
      <c r="Z14" s="174"/>
    </row>
    <row r="15" spans="2:26" s="196" customFormat="1" ht="17.25" customHeight="1">
      <c r="B15" s="206"/>
      <c r="C15" s="207" t="str">
        <f>C57</f>
        <v>3) DRYWALL</v>
      </c>
      <c r="D15" s="208"/>
      <c r="E15" s="209" t="s">
        <v>158</v>
      </c>
      <c r="F15" s="210">
        <v>1</v>
      </c>
      <c r="G15" s="210"/>
      <c r="H15" s="210"/>
      <c r="I15" s="210"/>
      <c r="J15" s="211"/>
      <c r="K15" s="212">
        <f>K65</f>
        <v>94548.52</v>
      </c>
      <c r="L15" s="211"/>
      <c r="M15" s="212">
        <f>M65</f>
        <v>0</v>
      </c>
      <c r="N15" s="211"/>
      <c r="O15" s="212">
        <f>O65</f>
        <v>43909.46</v>
      </c>
      <c r="P15" s="211"/>
      <c r="Q15" s="212">
        <f>Q65</f>
        <v>43909.46</v>
      </c>
      <c r="R15" s="213">
        <f t="shared" si="0"/>
        <v>0.46441192310572388</v>
      </c>
      <c r="S15" s="214"/>
      <c r="T15" s="214">
        <f>T65</f>
        <v>50639.060000000005</v>
      </c>
      <c r="U15" s="214"/>
      <c r="X15" s="191"/>
      <c r="Y15" s="174"/>
      <c r="Z15" s="174"/>
    </row>
    <row r="16" spans="2:26" s="196" customFormat="1" ht="17.25" customHeight="1">
      <c r="B16" s="206"/>
      <c r="C16" s="207" t="str">
        <f>C66</f>
        <v>4) WALL FINISH</v>
      </c>
      <c r="D16" s="208"/>
      <c r="E16" s="209" t="s">
        <v>158</v>
      </c>
      <c r="F16" s="210">
        <v>1</v>
      </c>
      <c r="G16" s="210"/>
      <c r="H16" s="210"/>
      <c r="I16" s="210"/>
      <c r="J16" s="211"/>
      <c r="K16" s="212">
        <f>K74</f>
        <v>83277.19</v>
      </c>
      <c r="L16" s="211"/>
      <c r="M16" s="212">
        <f>M74</f>
        <v>0</v>
      </c>
      <c r="N16" s="211"/>
      <c r="O16" s="212">
        <f>O74</f>
        <v>0</v>
      </c>
      <c r="P16" s="211"/>
      <c r="Q16" s="212">
        <f>Q74</f>
        <v>0</v>
      </c>
      <c r="R16" s="213">
        <f t="shared" si="0"/>
        <v>0</v>
      </c>
      <c r="S16" s="214"/>
      <c r="T16" s="214">
        <f>T74</f>
        <v>83277.19</v>
      </c>
      <c r="U16" s="214"/>
      <c r="X16" s="191"/>
      <c r="Y16" s="174"/>
      <c r="Z16" s="174"/>
    </row>
    <row r="17" spans="2:26" s="196" customFormat="1" ht="17.25" customHeight="1">
      <c r="B17" s="206"/>
      <c r="C17" s="207" t="str">
        <f>C75</f>
        <v>5) FLOOR FINISH</v>
      </c>
      <c r="D17" s="208"/>
      <c r="E17" s="209" t="s">
        <v>158</v>
      </c>
      <c r="F17" s="210">
        <v>1</v>
      </c>
      <c r="G17" s="210"/>
      <c r="H17" s="210"/>
      <c r="I17" s="210"/>
      <c r="J17" s="211"/>
      <c r="K17" s="212">
        <f>K84</f>
        <v>67623.820000000007</v>
      </c>
      <c r="L17" s="211"/>
      <c r="M17" s="212">
        <f>M84</f>
        <v>0</v>
      </c>
      <c r="N17" s="211"/>
      <c r="O17" s="212">
        <f>O84</f>
        <v>1859.6</v>
      </c>
      <c r="P17" s="211"/>
      <c r="Q17" s="212">
        <f>Q84</f>
        <v>1859.6</v>
      </c>
      <c r="R17" s="213">
        <f t="shared" si="0"/>
        <v>2.7499185937736138E-2</v>
      </c>
      <c r="S17" s="214"/>
      <c r="T17" s="214">
        <f>T84</f>
        <v>65764.22</v>
      </c>
      <c r="U17" s="214"/>
      <c r="X17" s="191"/>
      <c r="Y17" s="174"/>
      <c r="Z17" s="174"/>
    </row>
    <row r="18" spans="2:26" s="196" customFormat="1" ht="17.25" customHeight="1">
      <c r="B18" s="206"/>
      <c r="C18" s="207" t="str">
        <f>C85</f>
        <v>6) CEILING FINISH</v>
      </c>
      <c r="D18" s="208"/>
      <c r="E18" s="209" t="s">
        <v>158</v>
      </c>
      <c r="F18" s="210">
        <v>1</v>
      </c>
      <c r="G18" s="210"/>
      <c r="H18" s="210"/>
      <c r="I18" s="210"/>
      <c r="J18" s="211"/>
      <c r="K18" s="212">
        <f>K89</f>
        <v>45294</v>
      </c>
      <c r="L18" s="211"/>
      <c r="M18" s="212">
        <f>M89</f>
        <v>0</v>
      </c>
      <c r="N18" s="211"/>
      <c r="O18" s="212">
        <f>O89</f>
        <v>0</v>
      </c>
      <c r="P18" s="211"/>
      <c r="Q18" s="212">
        <f>Q89</f>
        <v>0</v>
      </c>
      <c r="R18" s="213">
        <f t="shared" si="0"/>
        <v>0</v>
      </c>
      <c r="S18" s="214"/>
      <c r="T18" s="214">
        <f>T89</f>
        <v>45294</v>
      </c>
      <c r="U18" s="214"/>
      <c r="X18" s="191"/>
      <c r="Y18" s="174"/>
      <c r="Z18" s="174"/>
    </row>
    <row r="19" spans="2:26" s="196" customFormat="1" ht="17.25" customHeight="1">
      <c r="B19" s="206"/>
      <c r="C19" s="207" t="str">
        <f>C90</f>
        <v>7) MISCELLANEOUS</v>
      </c>
      <c r="D19" s="208"/>
      <c r="E19" s="209" t="s">
        <v>158</v>
      </c>
      <c r="F19" s="210">
        <v>1</v>
      </c>
      <c r="G19" s="210"/>
      <c r="H19" s="210"/>
      <c r="I19" s="210"/>
      <c r="J19" s="211"/>
      <c r="K19" s="212">
        <f>K103</f>
        <v>193390.13999999998</v>
      </c>
      <c r="L19" s="211"/>
      <c r="M19" s="212">
        <f>M103</f>
        <v>0</v>
      </c>
      <c r="N19" s="211"/>
      <c r="O19" s="212">
        <f>O103</f>
        <v>52972.811999999998</v>
      </c>
      <c r="P19" s="211"/>
      <c r="Q19" s="212">
        <f>Q103</f>
        <v>52972.811999999998</v>
      </c>
      <c r="R19" s="213">
        <f t="shared" si="0"/>
        <v>0.27391681913048926</v>
      </c>
      <c r="S19" s="214"/>
      <c r="T19" s="214">
        <f>T103</f>
        <v>16664.34</v>
      </c>
      <c r="U19" s="214"/>
      <c r="X19" s="191"/>
      <c r="Y19" s="174"/>
      <c r="Z19" s="174"/>
    </row>
    <row r="20" spans="2:26" s="196" customFormat="1" ht="17.25" customHeight="1">
      <c r="B20" s="206"/>
      <c r="C20" s="207" t="str">
        <f>C104</f>
        <v>8) TOLIET WORKS</v>
      </c>
      <c r="D20" s="208"/>
      <c r="E20" s="209" t="s">
        <v>158</v>
      </c>
      <c r="F20" s="210">
        <v>1</v>
      </c>
      <c r="G20" s="210"/>
      <c r="H20" s="210"/>
      <c r="I20" s="210"/>
      <c r="J20" s="211"/>
      <c r="K20" s="212">
        <f>K121</f>
        <v>31845.22</v>
      </c>
      <c r="L20" s="211"/>
      <c r="M20" s="212">
        <f>M121</f>
        <v>0</v>
      </c>
      <c r="N20" s="211"/>
      <c r="O20" s="212">
        <f>O121</f>
        <v>0</v>
      </c>
      <c r="P20" s="211"/>
      <c r="Q20" s="212">
        <f>Q121</f>
        <v>0</v>
      </c>
      <c r="R20" s="213">
        <f t="shared" si="0"/>
        <v>0</v>
      </c>
      <c r="S20" s="214"/>
      <c r="T20" s="214">
        <f>T121</f>
        <v>4751.7199999999993</v>
      </c>
      <c r="U20" s="214"/>
      <c r="X20" s="191"/>
      <c r="Y20" s="174"/>
      <c r="Z20" s="174"/>
    </row>
    <row r="21" spans="2:26" s="196" customFormat="1" ht="17.25" customHeight="1">
      <c r="B21" s="206"/>
      <c r="C21" s="207" t="str">
        <f>C122</f>
        <v>9) CIVIL WORKS</v>
      </c>
      <c r="D21" s="208"/>
      <c r="E21" s="209" t="s">
        <v>158</v>
      </c>
      <c r="F21" s="210">
        <v>1</v>
      </c>
      <c r="G21" s="210"/>
      <c r="H21" s="210"/>
      <c r="I21" s="210"/>
      <c r="J21" s="211"/>
      <c r="K21" s="212">
        <f>K169</f>
        <v>165781.76999999999</v>
      </c>
      <c r="L21" s="211"/>
      <c r="M21" s="212">
        <f>M169</f>
        <v>0</v>
      </c>
      <c r="N21" s="211"/>
      <c r="O21" s="212">
        <f>O169</f>
        <v>33385.211000000003</v>
      </c>
      <c r="P21" s="211"/>
      <c r="Q21" s="212">
        <f>Q169</f>
        <v>33385.211000000003</v>
      </c>
      <c r="R21" s="213">
        <f t="shared" si="0"/>
        <v>0.20138047144749394</v>
      </c>
      <c r="S21" s="214"/>
      <c r="T21" s="214">
        <f>T169</f>
        <v>10056.92</v>
      </c>
      <c r="U21" s="214"/>
      <c r="X21" s="191"/>
      <c r="Y21" s="174"/>
      <c r="Z21" s="174"/>
    </row>
    <row r="22" spans="2:26" s="196" customFormat="1" ht="17.25" customHeight="1">
      <c r="B22" s="197">
        <v>1.1000000000000001</v>
      </c>
      <c r="C22" s="198" t="s">
        <v>159</v>
      </c>
      <c r="D22" s="199"/>
      <c r="E22" s="200" t="s">
        <v>158</v>
      </c>
      <c r="F22" s="201">
        <v>1</v>
      </c>
      <c r="G22" s="201"/>
      <c r="H22" s="201"/>
      <c r="I22" s="201"/>
      <c r="J22" s="202"/>
      <c r="K22" s="203">
        <f>TRUNC(SUM(K23:K31),2)</f>
        <v>571271.38</v>
      </c>
      <c r="L22" s="202"/>
      <c r="M22" s="203">
        <f>TRUNC(SUM(M23:M31),2)</f>
        <v>0</v>
      </c>
      <c r="N22" s="202">
        <f>N296+N309+N339+N411+N439</f>
        <v>0</v>
      </c>
      <c r="O22" s="203">
        <f>TRUNC(SUM(O23:O31),2)</f>
        <v>17851.5</v>
      </c>
      <c r="P22" s="202">
        <f>L22+N22</f>
        <v>0</v>
      </c>
      <c r="Q22" s="203">
        <f>TRUNC(SUM(Q23:Q31),2)</f>
        <v>17851.5</v>
      </c>
      <c r="R22" s="204">
        <f t="shared" si="0"/>
        <v>3.1248721054431258E-2</v>
      </c>
      <c r="S22" s="205"/>
      <c r="T22" s="205">
        <f>TRUNC(SUM(T23:T31),2)</f>
        <v>553419.87</v>
      </c>
      <c r="U22" s="205"/>
      <c r="X22" s="174"/>
      <c r="Y22" s="174"/>
      <c r="Z22" s="191"/>
    </row>
    <row r="23" spans="2:26" s="196" customFormat="1" ht="17.25" customHeight="1">
      <c r="B23" s="206"/>
      <c r="C23" s="207" t="str">
        <f>C172</f>
        <v>M0 General</v>
      </c>
      <c r="D23" s="208" t="s">
        <v>160</v>
      </c>
      <c r="E23" s="209" t="s">
        <v>158</v>
      </c>
      <c r="F23" s="210">
        <v>1</v>
      </c>
      <c r="G23" s="210"/>
      <c r="H23" s="210"/>
      <c r="I23" s="210"/>
      <c r="J23" s="211"/>
      <c r="K23" s="212">
        <f>K176</f>
        <v>44319.55</v>
      </c>
      <c r="L23" s="211"/>
      <c r="M23" s="212">
        <f>M176</f>
        <v>0</v>
      </c>
      <c r="N23" s="211"/>
      <c r="O23" s="212">
        <f>O176</f>
        <v>0</v>
      </c>
      <c r="P23" s="211"/>
      <c r="Q23" s="212">
        <f>Q176</f>
        <v>0</v>
      </c>
      <c r="R23" s="213">
        <f t="shared" si="0"/>
        <v>0</v>
      </c>
      <c r="S23" s="214"/>
      <c r="T23" s="214">
        <f>T176</f>
        <v>44319.55</v>
      </c>
      <c r="U23" s="214"/>
      <c r="X23" s="174"/>
      <c r="Y23" s="174"/>
      <c r="Z23" s="174"/>
    </row>
    <row r="24" spans="2:26" s="196" customFormat="1" ht="17.25" customHeight="1">
      <c r="B24" s="206"/>
      <c r="C24" s="207" t="str">
        <f>C177</f>
        <v>M1-1. Equipment</v>
      </c>
      <c r="D24" s="208" t="s">
        <v>160</v>
      </c>
      <c r="E24" s="209" t="s">
        <v>158</v>
      </c>
      <c r="F24" s="210">
        <v>1</v>
      </c>
      <c r="G24" s="210"/>
      <c r="H24" s="210"/>
      <c r="I24" s="210"/>
      <c r="J24" s="211"/>
      <c r="K24" s="212">
        <f>K195</f>
        <v>31745.979999999996</v>
      </c>
      <c r="L24" s="211"/>
      <c r="M24" s="212">
        <f>M195</f>
        <v>0</v>
      </c>
      <c r="N24" s="211"/>
      <c r="O24" s="212">
        <f>O195</f>
        <v>0</v>
      </c>
      <c r="P24" s="211"/>
      <c r="Q24" s="212">
        <f>Q195</f>
        <v>0</v>
      </c>
      <c r="R24" s="213">
        <f t="shared" si="0"/>
        <v>0</v>
      </c>
      <c r="S24" s="214"/>
      <c r="T24" s="214">
        <f>T195</f>
        <v>31745.979999999996</v>
      </c>
      <c r="U24" s="214"/>
      <c r="X24" s="174"/>
      <c r="Y24" s="174"/>
      <c r="Z24" s="174"/>
    </row>
    <row r="25" spans="2:26" s="196" customFormat="1" ht="17.25" customHeight="1">
      <c r="B25" s="206"/>
      <c r="C25" s="207" t="str">
        <f>C196</f>
        <v>M1-2. Duct Work</v>
      </c>
      <c r="D25" s="208" t="s">
        <v>160</v>
      </c>
      <c r="E25" s="209" t="s">
        <v>158</v>
      </c>
      <c r="F25" s="210">
        <v>1</v>
      </c>
      <c r="G25" s="210"/>
      <c r="H25" s="210"/>
      <c r="I25" s="210"/>
      <c r="J25" s="211"/>
      <c r="K25" s="212">
        <f>K230</f>
        <v>121114.79179999998</v>
      </c>
      <c r="L25" s="211"/>
      <c r="M25" s="212">
        <f>M230</f>
        <v>0</v>
      </c>
      <c r="N25" s="211"/>
      <c r="O25" s="212">
        <f>O230</f>
        <v>0</v>
      </c>
      <c r="P25" s="211"/>
      <c r="Q25" s="212">
        <f>Q230</f>
        <v>0</v>
      </c>
      <c r="R25" s="213">
        <f t="shared" si="0"/>
        <v>0</v>
      </c>
      <c r="S25" s="214"/>
      <c r="T25" s="214">
        <f>T230</f>
        <v>121114.79179999998</v>
      </c>
      <c r="U25" s="214"/>
      <c r="X25" s="174"/>
      <c r="Y25" s="174"/>
      <c r="Z25" s="174"/>
    </row>
    <row r="26" spans="2:26" s="196" customFormat="1" ht="17.25" customHeight="1">
      <c r="B26" s="206"/>
      <c r="C26" s="207" t="str">
        <f>C231</f>
        <v>M1-3-1. Domestic Water</v>
      </c>
      <c r="D26" s="208" t="s">
        <v>160</v>
      </c>
      <c r="E26" s="209" t="s">
        <v>158</v>
      </c>
      <c r="F26" s="210">
        <v>1</v>
      </c>
      <c r="G26" s="210"/>
      <c r="H26" s="210"/>
      <c r="I26" s="210"/>
      <c r="J26" s="211"/>
      <c r="K26" s="212">
        <f>K264</f>
        <v>31293.986900000007</v>
      </c>
      <c r="L26" s="211"/>
      <c r="M26" s="212">
        <f>M264</f>
        <v>0</v>
      </c>
      <c r="N26" s="211"/>
      <c r="O26" s="212">
        <f>O264</f>
        <v>6427.0831500000004</v>
      </c>
      <c r="P26" s="211"/>
      <c r="Q26" s="212">
        <f>Q264</f>
        <v>6427.0831500000004</v>
      </c>
      <c r="R26" s="213">
        <f t="shared" si="0"/>
        <v>0.20537757526830175</v>
      </c>
      <c r="S26" s="214"/>
      <c r="T26" s="214">
        <f>T264</f>
        <v>24866.903750000005</v>
      </c>
      <c r="U26" s="214"/>
      <c r="X26" s="174"/>
      <c r="Y26" s="174"/>
      <c r="Z26" s="174"/>
    </row>
    <row r="27" spans="2:26" s="196" customFormat="1" ht="17.25" customHeight="1">
      <c r="B27" s="206"/>
      <c r="C27" s="207" t="str">
        <f>C265</f>
        <v>M1-3-2. Plumbing</v>
      </c>
      <c r="D27" s="208"/>
      <c r="E27" s="209" t="s">
        <v>158</v>
      </c>
      <c r="F27" s="210">
        <v>1</v>
      </c>
      <c r="G27" s="210"/>
      <c r="H27" s="210"/>
      <c r="I27" s="210"/>
      <c r="J27" s="211"/>
      <c r="K27" s="212">
        <f>K277</f>
        <v>8248.5434999999998</v>
      </c>
      <c r="L27" s="211"/>
      <c r="M27" s="212">
        <f>M277</f>
        <v>0</v>
      </c>
      <c r="N27" s="211"/>
      <c r="O27" s="212">
        <f>O277</f>
        <v>8248.5434999999998</v>
      </c>
      <c r="P27" s="211"/>
      <c r="Q27" s="212">
        <f>Q277</f>
        <v>8248.5434999999998</v>
      </c>
      <c r="R27" s="213">
        <f t="shared" si="0"/>
        <v>1</v>
      </c>
      <c r="S27" s="214"/>
      <c r="T27" s="214">
        <f>T277</f>
        <v>0</v>
      </c>
      <c r="U27" s="214"/>
      <c r="X27" s="174"/>
      <c r="Y27" s="174"/>
      <c r="Z27" s="174"/>
    </row>
    <row r="28" spans="2:26" s="196" customFormat="1" ht="17.25" customHeight="1">
      <c r="B28" s="206"/>
      <c r="C28" s="207" t="str">
        <f>C278</f>
        <v>M1-3-3 A/G NG Piping Work</v>
      </c>
      <c r="D28" s="208"/>
      <c r="E28" s="209" t="s">
        <v>158</v>
      </c>
      <c r="F28" s="210">
        <v>1</v>
      </c>
      <c r="G28" s="210"/>
      <c r="H28" s="210"/>
      <c r="I28" s="210"/>
      <c r="J28" s="211"/>
      <c r="K28" s="212">
        <f>K288</f>
        <v>7303.9098999999997</v>
      </c>
      <c r="L28" s="211"/>
      <c r="M28" s="212">
        <f>M288</f>
        <v>0</v>
      </c>
      <c r="N28" s="211"/>
      <c r="O28" s="212">
        <f>O288</f>
        <v>3175.8749500000004</v>
      </c>
      <c r="P28" s="211"/>
      <c r="Q28" s="212">
        <f>Q288</f>
        <v>3175.8749500000004</v>
      </c>
      <c r="R28" s="213">
        <f t="shared" si="0"/>
        <v>0.43481847304825055</v>
      </c>
      <c r="S28" s="214"/>
      <c r="T28" s="214">
        <f>T288</f>
        <v>4128.0349500000002</v>
      </c>
      <c r="U28" s="214"/>
      <c r="X28" s="174"/>
      <c r="Y28" s="174"/>
      <c r="Z28" s="174"/>
    </row>
    <row r="29" spans="2:26" s="196" customFormat="1" ht="17.25" customHeight="1">
      <c r="B29" s="206"/>
      <c r="C29" s="207" t="str">
        <f>C289</f>
        <v>M1-4. Fire Protection Work</v>
      </c>
      <c r="D29" s="208"/>
      <c r="E29" s="209" t="s">
        <v>158</v>
      </c>
      <c r="F29" s="210">
        <v>1</v>
      </c>
      <c r="G29" s="210"/>
      <c r="H29" s="210"/>
      <c r="I29" s="210"/>
      <c r="J29" s="211"/>
      <c r="K29" s="212">
        <f>K296</f>
        <v>0</v>
      </c>
      <c r="L29" s="211"/>
      <c r="M29" s="212">
        <f>M296</f>
        <v>0</v>
      </c>
      <c r="N29" s="211"/>
      <c r="O29" s="212">
        <f>O296</f>
        <v>0</v>
      </c>
      <c r="P29" s="211"/>
      <c r="Q29" s="212">
        <f>Q296</f>
        <v>0</v>
      </c>
      <c r="R29" s="213" t="e">
        <f t="shared" si="0"/>
        <v>#DIV/0!</v>
      </c>
      <c r="S29" s="214"/>
      <c r="T29" s="214">
        <f>T296</f>
        <v>0</v>
      </c>
      <c r="U29" s="214"/>
      <c r="X29" s="174"/>
      <c r="Y29" s="174"/>
      <c r="Z29" s="174"/>
    </row>
    <row r="30" spans="2:26" s="196" customFormat="1" ht="17.25" customHeight="1">
      <c r="B30" s="206"/>
      <c r="C30" s="207" t="str">
        <f>C297</f>
        <v>M1-5. Mechanical Demolition Work</v>
      </c>
      <c r="D30" s="208"/>
      <c r="E30" s="209" t="s">
        <v>158</v>
      </c>
      <c r="F30" s="210">
        <v>1</v>
      </c>
      <c r="G30" s="210"/>
      <c r="H30" s="210"/>
      <c r="I30" s="210"/>
      <c r="J30" s="211"/>
      <c r="K30" s="212">
        <f>K309</f>
        <v>26262.949000000001</v>
      </c>
      <c r="L30" s="211"/>
      <c r="M30" s="212">
        <f>M309</f>
        <v>0</v>
      </c>
      <c r="N30" s="211"/>
      <c r="O30" s="212">
        <f>O309</f>
        <v>0</v>
      </c>
      <c r="P30" s="211"/>
      <c r="Q30" s="212">
        <f>Q309</f>
        <v>0</v>
      </c>
      <c r="R30" s="213">
        <f t="shared" si="0"/>
        <v>0</v>
      </c>
      <c r="S30" s="214"/>
      <c r="T30" s="214">
        <f>T309</f>
        <v>26262.949000000001</v>
      </c>
      <c r="U30" s="214"/>
      <c r="X30" s="174"/>
      <c r="Y30" s="174"/>
      <c r="Z30" s="174"/>
    </row>
    <row r="31" spans="2:26" s="196" customFormat="1" ht="17.25" customHeight="1">
      <c r="B31" s="206"/>
      <c r="C31" s="207" t="str">
        <f>C310</f>
        <v>M1-6. Civil WORK</v>
      </c>
      <c r="D31" s="208"/>
      <c r="E31" s="209" t="s">
        <v>158</v>
      </c>
      <c r="F31" s="210">
        <v>1</v>
      </c>
      <c r="G31" s="210"/>
      <c r="H31" s="210"/>
      <c r="I31" s="210"/>
      <c r="J31" s="211"/>
      <c r="K31" s="212">
        <f>K339</f>
        <v>300981.67000000004</v>
      </c>
      <c r="L31" s="211"/>
      <c r="M31" s="212">
        <f>M339</f>
        <v>0</v>
      </c>
      <c r="N31" s="211"/>
      <c r="O31" s="212">
        <f>O339</f>
        <v>0</v>
      </c>
      <c r="P31" s="211"/>
      <c r="Q31" s="212">
        <f>Q339</f>
        <v>0</v>
      </c>
      <c r="R31" s="213">
        <f t="shared" si="0"/>
        <v>0</v>
      </c>
      <c r="S31" s="214"/>
      <c r="T31" s="214">
        <f>T339</f>
        <v>300981.67000000004</v>
      </c>
      <c r="U31" s="214"/>
      <c r="X31" s="174"/>
      <c r="Y31" s="174"/>
      <c r="Z31" s="174"/>
    </row>
    <row r="32" spans="2:26" s="215" customFormat="1" ht="17.25" customHeight="1">
      <c r="B32" s="197">
        <v>1.2</v>
      </c>
      <c r="C32" s="198" t="s">
        <v>161</v>
      </c>
      <c r="D32" s="199"/>
      <c r="E32" s="200" t="s">
        <v>158</v>
      </c>
      <c r="F32" s="201">
        <v>1</v>
      </c>
      <c r="G32" s="201"/>
      <c r="H32" s="201"/>
      <c r="I32" s="201"/>
      <c r="J32" s="202"/>
      <c r="K32" s="203">
        <f>TRUNC(SUM(K33:K38),2)</f>
        <v>473550.88</v>
      </c>
      <c r="L32" s="202"/>
      <c r="M32" s="203">
        <f>TRUNC(SUM(M33:M38),2)</f>
        <v>0</v>
      </c>
      <c r="N32" s="202">
        <f>N458+N476+N485</f>
        <v>0</v>
      </c>
      <c r="O32" s="203">
        <f>TRUNC(SUM(O33:O38),2)</f>
        <v>68365.84</v>
      </c>
      <c r="P32" s="202">
        <f>L32+N32</f>
        <v>0</v>
      </c>
      <c r="Q32" s="203">
        <f>TRUNC(SUM(Q33:Q38),2)</f>
        <v>68365.84</v>
      </c>
      <c r="R32" s="204">
        <f t="shared" si="0"/>
        <v>0.14436852065400024</v>
      </c>
      <c r="S32" s="205"/>
      <c r="T32" s="205">
        <f>TRUNC(SUM(T33:T38),2)</f>
        <v>405185.04</v>
      </c>
      <c r="U32" s="205"/>
      <c r="W32" s="216"/>
      <c r="X32" s="217"/>
      <c r="Y32" s="217"/>
      <c r="Z32" s="191"/>
    </row>
    <row r="33" spans="2:26" s="196" customFormat="1" ht="17.25" customHeight="1">
      <c r="B33" s="206"/>
      <c r="C33" s="207" t="str">
        <f>C342</f>
        <v>01. POWER DISTRIBUTION WORK</v>
      </c>
      <c r="D33" s="208" t="s">
        <v>160</v>
      </c>
      <c r="E33" s="209" t="s">
        <v>158</v>
      </c>
      <c r="F33" s="210">
        <v>1</v>
      </c>
      <c r="G33" s="210"/>
      <c r="H33" s="210"/>
      <c r="I33" s="210"/>
      <c r="J33" s="211"/>
      <c r="K33" s="212">
        <f>K411</f>
        <v>146204.13999999998</v>
      </c>
      <c r="L33" s="211"/>
      <c r="M33" s="212">
        <f>M411</f>
        <v>0</v>
      </c>
      <c r="N33" s="211"/>
      <c r="O33" s="212">
        <f>O411</f>
        <v>68365.84</v>
      </c>
      <c r="P33" s="211"/>
      <c r="Q33" s="212">
        <f>Q411</f>
        <v>68365.84</v>
      </c>
      <c r="R33" s="213">
        <f t="shared" si="0"/>
        <v>0.46760536329545799</v>
      </c>
      <c r="S33" s="214"/>
      <c r="T33" s="214">
        <f>T411</f>
        <v>77838.299999999988</v>
      </c>
      <c r="U33" s="214"/>
      <c r="W33" s="218"/>
      <c r="X33" s="174"/>
      <c r="Y33" s="174"/>
      <c r="Z33" s="174"/>
    </row>
    <row r="34" spans="2:26" s="196" customFormat="1" ht="17.25" customHeight="1">
      <c r="B34" s="206"/>
      <c r="C34" s="207" t="str">
        <f>C412</f>
        <v>02. MECHANICAL POWER WORK</v>
      </c>
      <c r="D34" s="208" t="s">
        <v>160</v>
      </c>
      <c r="E34" s="209" t="s">
        <v>158</v>
      </c>
      <c r="F34" s="210">
        <v>1</v>
      </c>
      <c r="G34" s="210"/>
      <c r="H34" s="210"/>
      <c r="I34" s="210"/>
      <c r="J34" s="211"/>
      <c r="K34" s="212">
        <f>K439</f>
        <v>140971.86000000002</v>
      </c>
      <c r="L34" s="211"/>
      <c r="M34" s="212">
        <f>M439</f>
        <v>0</v>
      </c>
      <c r="N34" s="211"/>
      <c r="O34" s="212">
        <f>O439</f>
        <v>0</v>
      </c>
      <c r="P34" s="211"/>
      <c r="Q34" s="212">
        <f>Q439</f>
        <v>0</v>
      </c>
      <c r="R34" s="213">
        <f t="shared" si="0"/>
        <v>0</v>
      </c>
      <c r="S34" s="214"/>
      <c r="T34" s="214">
        <f>T439</f>
        <v>140971.86000000002</v>
      </c>
      <c r="U34" s="214"/>
      <c r="W34" s="218"/>
      <c r="X34" s="174"/>
      <c r="Y34" s="174"/>
      <c r="Z34" s="174"/>
    </row>
    <row r="35" spans="2:26" s="196" customFormat="1" ht="17.25" customHeight="1">
      <c r="B35" s="206"/>
      <c r="C35" s="207" t="str">
        <f>C440</f>
        <v>03. Lighting WORK</v>
      </c>
      <c r="D35" s="208"/>
      <c r="E35" s="209" t="s">
        <v>158</v>
      </c>
      <c r="F35" s="210">
        <v>1</v>
      </c>
      <c r="G35" s="210"/>
      <c r="H35" s="210"/>
      <c r="I35" s="210"/>
      <c r="J35" s="211"/>
      <c r="K35" s="212">
        <f>K458</f>
        <v>63568.46</v>
      </c>
      <c r="L35" s="211"/>
      <c r="M35" s="212">
        <f>M458</f>
        <v>0</v>
      </c>
      <c r="N35" s="211"/>
      <c r="O35" s="212">
        <f>O458</f>
        <v>0</v>
      </c>
      <c r="P35" s="211"/>
      <c r="Q35" s="212">
        <f>Q458</f>
        <v>0</v>
      </c>
      <c r="R35" s="213">
        <f t="shared" si="0"/>
        <v>0</v>
      </c>
      <c r="S35" s="214"/>
      <c r="T35" s="214">
        <f>T458</f>
        <v>63568.46</v>
      </c>
      <c r="U35" s="214"/>
      <c r="W35" s="218"/>
      <c r="X35" s="174"/>
      <c r="Y35" s="174"/>
      <c r="Z35" s="174"/>
    </row>
    <row r="36" spans="2:26" s="196" customFormat="1" ht="17.25" customHeight="1">
      <c r="B36" s="206"/>
      <c r="C36" s="207" t="str">
        <f>C459</f>
        <v>04. Receptacle WORK</v>
      </c>
      <c r="D36" s="208" t="s">
        <v>160</v>
      </c>
      <c r="E36" s="209" t="s">
        <v>158</v>
      </c>
      <c r="F36" s="210">
        <v>1</v>
      </c>
      <c r="G36" s="210"/>
      <c r="H36" s="210"/>
      <c r="I36" s="210"/>
      <c r="J36" s="211"/>
      <c r="K36" s="212">
        <f>K476</f>
        <v>48825.619999999988</v>
      </c>
      <c r="L36" s="211"/>
      <c r="M36" s="212">
        <f>M476</f>
        <v>0</v>
      </c>
      <c r="N36" s="211"/>
      <c r="O36" s="212">
        <f>O476</f>
        <v>0</v>
      </c>
      <c r="P36" s="211"/>
      <c r="Q36" s="212">
        <f>Q476</f>
        <v>0</v>
      </c>
      <c r="R36" s="213">
        <f t="shared" si="0"/>
        <v>0</v>
      </c>
      <c r="S36" s="214"/>
      <c r="T36" s="214">
        <f>T476</f>
        <v>48825.619999999988</v>
      </c>
      <c r="U36" s="214"/>
      <c r="X36" s="174"/>
      <c r="Y36" s="174"/>
      <c r="Z36" s="174"/>
    </row>
    <row r="37" spans="2:26" s="196" customFormat="1" ht="17.25" customHeight="1">
      <c r="B37" s="206"/>
      <c r="C37" s="207" t="str">
        <f>C477</f>
        <v>05. INCIDENTAL EXPENSE</v>
      </c>
      <c r="D37" s="208" t="s">
        <v>160</v>
      </c>
      <c r="E37" s="209" t="s">
        <v>158</v>
      </c>
      <c r="F37" s="210">
        <v>1</v>
      </c>
      <c r="G37" s="210"/>
      <c r="H37" s="210"/>
      <c r="I37" s="210"/>
      <c r="J37" s="211"/>
      <c r="K37" s="212">
        <f>K485</f>
        <v>73980.800000000003</v>
      </c>
      <c r="L37" s="211"/>
      <c r="M37" s="212">
        <f>M485</f>
        <v>0</v>
      </c>
      <c r="N37" s="211"/>
      <c r="O37" s="212">
        <f>O485</f>
        <v>0</v>
      </c>
      <c r="P37" s="211"/>
      <c r="Q37" s="212">
        <f>Q485</f>
        <v>0</v>
      </c>
      <c r="R37" s="213">
        <f t="shared" si="0"/>
        <v>0</v>
      </c>
      <c r="S37" s="214"/>
      <c r="T37" s="214">
        <f>T485</f>
        <v>73980.800000000003</v>
      </c>
      <c r="U37" s="214"/>
      <c r="X37" s="174"/>
      <c r="Y37" s="174"/>
      <c r="Z37" s="174"/>
    </row>
    <row r="38" spans="2:26" s="196" customFormat="1" ht="17.25" customHeight="1">
      <c r="B38" s="206"/>
      <c r="C38" s="207" t="str">
        <f>C486</f>
        <v>06. FIRE ALARM SYSTEM</v>
      </c>
      <c r="D38" s="208" t="s">
        <v>160</v>
      </c>
      <c r="E38" s="209" t="s">
        <v>158</v>
      </c>
      <c r="F38" s="210">
        <v>1</v>
      </c>
      <c r="G38" s="210"/>
      <c r="H38" s="210"/>
      <c r="I38" s="210"/>
      <c r="J38" s="211"/>
      <c r="K38" s="212">
        <f>K489</f>
        <v>0</v>
      </c>
      <c r="L38" s="211"/>
      <c r="M38" s="212">
        <f>M489</f>
        <v>0</v>
      </c>
      <c r="N38" s="211"/>
      <c r="O38" s="212">
        <f>O489</f>
        <v>0</v>
      </c>
      <c r="P38" s="211"/>
      <c r="Q38" s="212">
        <f>Q489</f>
        <v>0</v>
      </c>
      <c r="R38" s="213" t="e">
        <f t="shared" si="0"/>
        <v>#DIV/0!</v>
      </c>
      <c r="S38" s="214"/>
      <c r="T38" s="214">
        <f>T489</f>
        <v>0</v>
      </c>
      <c r="U38" s="214"/>
      <c r="X38" s="174"/>
      <c r="Y38" s="174"/>
      <c r="Z38" s="174"/>
    </row>
    <row r="39" spans="2:26" s="196" customFormat="1" ht="17.25" customHeight="1">
      <c r="B39" s="219"/>
      <c r="C39" s="208" t="s">
        <v>162</v>
      </c>
      <c r="D39" s="220"/>
      <c r="E39" s="221"/>
      <c r="F39" s="222"/>
      <c r="G39" s="222"/>
      <c r="H39" s="222"/>
      <c r="I39" s="222"/>
      <c r="J39" s="223"/>
      <c r="K39" s="224">
        <f>-MOD(K12+K22+K32,1000)</f>
        <v>-820.35999999986961</v>
      </c>
      <c r="L39" s="223"/>
      <c r="M39" s="224">
        <f>-MOD(M12+M22+M32,1000)</f>
        <v>0</v>
      </c>
      <c r="N39" s="223"/>
      <c r="O39" s="224">
        <f>-MOD(O12+O22+O32,1000)</f>
        <v>-344.4199999999837</v>
      </c>
      <c r="P39" s="223"/>
      <c r="Q39" s="224">
        <f>-MOD(Q12+Q22+Q32,1000)</f>
        <v>-344.4199999999837</v>
      </c>
      <c r="R39" s="225"/>
      <c r="S39" s="226"/>
      <c r="T39" s="226"/>
      <c r="U39" s="226"/>
      <c r="X39" s="174"/>
      <c r="Y39" s="174"/>
      <c r="Z39" s="174"/>
    </row>
    <row r="40" spans="2:26" ht="12" customHeight="1">
      <c r="B40" s="227"/>
      <c r="C40" s="228"/>
      <c r="D40" s="228"/>
      <c r="E40" s="229"/>
      <c r="F40" s="230"/>
      <c r="G40" s="230"/>
      <c r="H40" s="230"/>
      <c r="I40" s="230"/>
      <c r="J40" s="231"/>
      <c r="K40" s="232"/>
      <c r="L40" s="231"/>
      <c r="M40" s="233"/>
      <c r="N40" s="234"/>
      <c r="O40" s="235"/>
      <c r="P40" s="234"/>
      <c r="Q40" s="236"/>
      <c r="R40" s="237"/>
      <c r="S40" s="238"/>
      <c r="T40" s="238"/>
      <c r="U40" s="238"/>
    </row>
    <row r="41" spans="2:26" s="196" customFormat="1" ht="21" customHeight="1">
      <c r="B41" s="239"/>
      <c r="C41" s="240" t="s">
        <v>163</v>
      </c>
      <c r="D41" s="240"/>
      <c r="E41" s="241"/>
      <c r="F41" s="242"/>
      <c r="G41" s="242"/>
      <c r="H41" s="242"/>
      <c r="I41" s="242"/>
      <c r="J41" s="243"/>
      <c r="K41" s="244">
        <f>K12+K22+K32+K39</f>
        <v>1789000</v>
      </c>
      <c r="L41" s="243"/>
      <c r="M41" s="244">
        <f>M12+M22+M32+M39</f>
        <v>0</v>
      </c>
      <c r="N41" s="243"/>
      <c r="O41" s="244">
        <f>O12+O22+O32+O39</f>
        <v>218000</v>
      </c>
      <c r="P41" s="243"/>
      <c r="Q41" s="244">
        <f>Q12+Q22+Q32+Q39</f>
        <v>218000</v>
      </c>
      <c r="R41" s="245"/>
      <c r="S41" s="246"/>
      <c r="T41" s="244">
        <f>T12+T22+T32+T39</f>
        <v>1298289.8</v>
      </c>
      <c r="U41" s="246">
        <f>TRUNC(Q41*5%,2)</f>
        <v>10900</v>
      </c>
      <c r="V41" s="247"/>
      <c r="W41" s="248"/>
      <c r="X41" s="249"/>
      <c r="Y41" s="249"/>
      <c r="Z41" s="250">
        <v>1</v>
      </c>
    </row>
    <row r="42" spans="2:26" ht="17.25" customHeight="1">
      <c r="B42" s="251"/>
      <c r="C42" s="251"/>
      <c r="D42" s="251"/>
      <c r="E42" s="252"/>
      <c r="F42" s="249"/>
      <c r="G42" s="249"/>
      <c r="H42" s="249"/>
      <c r="I42" s="249"/>
      <c r="J42" s="253"/>
      <c r="K42" s="254"/>
      <c r="L42" s="253"/>
      <c r="M42" s="255"/>
      <c r="N42" s="253"/>
      <c r="O42" s="256"/>
      <c r="P42" s="253"/>
      <c r="Q42" s="253"/>
      <c r="R42" s="257"/>
      <c r="S42" s="253"/>
      <c r="T42" s="253"/>
      <c r="U42" s="253"/>
      <c r="V42" s="258"/>
      <c r="W42" s="258"/>
      <c r="X42" s="259"/>
      <c r="Y42" s="259"/>
    </row>
    <row r="43" spans="2:26" s="215" customFormat="1" ht="17.25" customHeight="1">
      <c r="B43" s="260">
        <v>0</v>
      </c>
      <c r="C43" s="198" t="s">
        <v>157</v>
      </c>
      <c r="D43" s="199"/>
      <c r="E43" s="200"/>
      <c r="F43" s="201"/>
      <c r="G43" s="201"/>
      <c r="H43" s="201"/>
      <c r="I43" s="201"/>
      <c r="J43" s="202"/>
      <c r="K43" s="261"/>
      <c r="L43" s="202"/>
      <c r="M43" s="262"/>
      <c r="N43" s="263"/>
      <c r="O43" s="205"/>
      <c r="P43" s="202"/>
      <c r="Q43" s="205"/>
      <c r="R43" s="204"/>
      <c r="S43" s="205"/>
      <c r="T43" s="205"/>
      <c r="U43" s="205"/>
      <c r="V43" s="264"/>
      <c r="W43" s="264"/>
      <c r="X43" s="249"/>
      <c r="Y43" s="249"/>
      <c r="Z43" s="265"/>
    </row>
    <row r="44" spans="2:26" s="215" customFormat="1" ht="17.25" customHeight="1">
      <c r="B44" s="260">
        <f t="shared" ref="B44:B107" si="1">B43+1</f>
        <v>1</v>
      </c>
      <c r="C44" s="199" t="s">
        <v>164</v>
      </c>
      <c r="D44" s="199"/>
      <c r="E44" s="200"/>
      <c r="F44" s="201"/>
      <c r="G44" s="201"/>
      <c r="H44" s="201"/>
      <c r="I44" s="201"/>
      <c r="J44" s="202"/>
      <c r="K44" s="261"/>
      <c r="L44" s="202"/>
      <c r="M44" s="262"/>
      <c r="N44" s="263"/>
      <c r="O44" s="205"/>
      <c r="P44" s="202"/>
      <c r="Q44" s="205"/>
      <c r="R44" s="204"/>
      <c r="S44" s="205"/>
      <c r="T44" s="205"/>
      <c r="U44" s="205"/>
      <c r="V44" s="264"/>
      <c r="W44" s="264"/>
      <c r="X44" s="249"/>
      <c r="Y44" s="249"/>
      <c r="Z44" s="265"/>
    </row>
    <row r="45" spans="2:26" s="196" customFormat="1" ht="17.25" customHeight="1">
      <c r="B45" s="266">
        <f t="shared" si="1"/>
        <v>2</v>
      </c>
      <c r="C45" s="267" t="s">
        <v>165</v>
      </c>
      <c r="D45" s="267"/>
      <c r="E45" s="268" t="s">
        <v>166</v>
      </c>
      <c r="F45" s="269">
        <v>200</v>
      </c>
      <c r="G45" s="270">
        <v>0</v>
      </c>
      <c r="H45" s="270">
        <v>14.11</v>
      </c>
      <c r="I45" s="269"/>
      <c r="J45" s="271">
        <f>I45+H45+G45</f>
        <v>14.11</v>
      </c>
      <c r="K45" s="272">
        <f>J45*F45</f>
        <v>2822</v>
      </c>
      <c r="L45" s="273"/>
      <c r="M45" s="274">
        <f>L45*J45</f>
        <v>0</v>
      </c>
      <c r="N45" s="275"/>
      <c r="O45" s="276">
        <f>N45*J45</f>
        <v>0</v>
      </c>
      <c r="P45" s="273">
        <f>N45+L45</f>
        <v>0</v>
      </c>
      <c r="Q45" s="276">
        <f>P45*J45</f>
        <v>0</v>
      </c>
      <c r="R45" s="277">
        <f>IFERROR(Q45/K45,0)</f>
        <v>0</v>
      </c>
      <c r="S45" s="276">
        <f>F45-P45</f>
        <v>200</v>
      </c>
      <c r="T45" s="276">
        <f>K45-Q45</f>
        <v>2822</v>
      </c>
      <c r="U45" s="276"/>
      <c r="V45" s="264"/>
      <c r="W45" s="278"/>
      <c r="X45" s="279"/>
      <c r="Y45" s="249"/>
      <c r="Z45" s="265"/>
    </row>
    <row r="46" spans="2:26" s="196" customFormat="1" ht="17.25" customHeight="1">
      <c r="B46" s="266">
        <f t="shared" si="1"/>
        <v>3</v>
      </c>
      <c r="C46" s="267" t="s">
        <v>167</v>
      </c>
      <c r="D46" s="267" t="s">
        <v>168</v>
      </c>
      <c r="E46" s="268" t="s">
        <v>166</v>
      </c>
      <c r="F46" s="269">
        <v>200</v>
      </c>
      <c r="G46" s="270">
        <v>33.94</v>
      </c>
      <c r="H46" s="270">
        <v>56.02</v>
      </c>
      <c r="I46" s="269"/>
      <c r="J46" s="271">
        <f>I46+H46+G46</f>
        <v>89.960000000000008</v>
      </c>
      <c r="K46" s="272">
        <f>J46*F46</f>
        <v>17992</v>
      </c>
      <c r="L46" s="273"/>
      <c r="M46" s="274">
        <f>L46*J46</f>
        <v>0</v>
      </c>
      <c r="N46" s="275"/>
      <c r="O46" s="276">
        <f>N46*J46</f>
        <v>0</v>
      </c>
      <c r="P46" s="273">
        <f>N46+L46</f>
        <v>0</v>
      </c>
      <c r="Q46" s="276">
        <f>P46*J46</f>
        <v>0</v>
      </c>
      <c r="R46" s="277">
        <f>IFERROR(Q46/K46,0)</f>
        <v>0</v>
      </c>
      <c r="S46" s="276">
        <f>F46-P46</f>
        <v>200</v>
      </c>
      <c r="T46" s="276">
        <f>K46-Q46</f>
        <v>17992</v>
      </c>
      <c r="U46" s="276"/>
      <c r="V46" s="264"/>
      <c r="W46" s="278"/>
      <c r="X46" s="279"/>
      <c r="Y46" s="249"/>
      <c r="Z46" s="265"/>
    </row>
    <row r="47" spans="2:26" s="196" customFormat="1" ht="17.25" customHeight="1">
      <c r="B47" s="266">
        <f t="shared" si="1"/>
        <v>4</v>
      </c>
      <c r="C47" s="267" t="s">
        <v>169</v>
      </c>
      <c r="D47" s="267" t="s">
        <v>170</v>
      </c>
      <c r="E47" s="268" t="s">
        <v>166</v>
      </c>
      <c r="F47" s="269">
        <v>600</v>
      </c>
      <c r="G47" s="270">
        <v>10.72</v>
      </c>
      <c r="H47" s="270">
        <v>17.18</v>
      </c>
      <c r="I47" s="269"/>
      <c r="J47" s="271">
        <f>I47+H47+G47</f>
        <v>27.9</v>
      </c>
      <c r="K47" s="272">
        <f>J47*F47</f>
        <v>16740</v>
      </c>
      <c r="L47" s="273"/>
      <c r="M47" s="274">
        <f>L47*J47</f>
        <v>0</v>
      </c>
      <c r="N47" s="275"/>
      <c r="O47" s="276">
        <f>N47*J47</f>
        <v>0</v>
      </c>
      <c r="P47" s="273">
        <f>N47+L47</f>
        <v>0</v>
      </c>
      <c r="Q47" s="276">
        <f>P47*J47</f>
        <v>0</v>
      </c>
      <c r="R47" s="277">
        <f>IFERROR(Q47/K47,0)</f>
        <v>0</v>
      </c>
      <c r="S47" s="276">
        <f>F47-P47</f>
        <v>600</v>
      </c>
      <c r="T47" s="276">
        <f>K47-Q47</f>
        <v>16740</v>
      </c>
      <c r="U47" s="276"/>
      <c r="V47" s="264"/>
      <c r="W47" s="278">
        <f>M47-V47</f>
        <v>0</v>
      </c>
      <c r="X47" s="279"/>
      <c r="Y47" s="249"/>
      <c r="Z47" s="174"/>
    </row>
    <row r="48" spans="2:26" s="196" customFormat="1" ht="17.25" customHeight="1">
      <c r="B48" s="266">
        <f t="shared" si="1"/>
        <v>5</v>
      </c>
      <c r="C48" s="267"/>
      <c r="D48" s="267"/>
      <c r="E48" s="268"/>
      <c r="F48" s="269"/>
      <c r="G48" s="270"/>
      <c r="H48" s="270"/>
      <c r="I48" s="269"/>
      <c r="J48" s="271"/>
      <c r="K48" s="272"/>
      <c r="L48" s="273"/>
      <c r="M48" s="274"/>
      <c r="N48" s="275"/>
      <c r="O48" s="276"/>
      <c r="P48" s="273"/>
      <c r="Q48" s="276"/>
      <c r="R48" s="277"/>
      <c r="S48" s="276"/>
      <c r="T48" s="276"/>
      <c r="U48" s="276"/>
      <c r="V48" s="264"/>
      <c r="W48" s="278"/>
      <c r="X48" s="279"/>
      <c r="Y48" s="249"/>
      <c r="Z48" s="174"/>
    </row>
    <row r="49" spans="2:26" s="280" customFormat="1" ht="17.25" customHeight="1">
      <c r="B49" s="281">
        <f t="shared" si="1"/>
        <v>6</v>
      </c>
      <c r="C49" s="282" t="s">
        <v>171</v>
      </c>
      <c r="D49" s="282"/>
      <c r="E49" s="283"/>
      <c r="F49" s="284"/>
      <c r="G49" s="285"/>
      <c r="H49" s="285"/>
      <c r="I49" s="284"/>
      <c r="J49" s="286"/>
      <c r="K49" s="287">
        <f>SUM(K45:K47)</f>
        <v>37554</v>
      </c>
      <c r="L49" s="285"/>
      <c r="M49" s="287">
        <f>SUM(M45:M47)</f>
        <v>0</v>
      </c>
      <c r="N49" s="285"/>
      <c r="O49" s="287">
        <f>SUM(O45:O47)</f>
        <v>0</v>
      </c>
      <c r="P49" s="288"/>
      <c r="Q49" s="287">
        <f>SUM(Q45:Q47)</f>
        <v>0</v>
      </c>
      <c r="R49" s="289">
        <f>IFERROR(+Q49/K49,0)</f>
        <v>0</v>
      </c>
      <c r="S49" s="290"/>
      <c r="T49" s="287">
        <f>SUM(T45:T47)</f>
        <v>37554</v>
      </c>
      <c r="U49" s="287"/>
      <c r="V49" s="264"/>
      <c r="W49" s="278">
        <f t="shared" ref="W49:W112" si="2">M49-V49</f>
        <v>0</v>
      </c>
      <c r="X49" s="279"/>
      <c r="Y49" s="249"/>
      <c r="Z49" s="174"/>
    </row>
    <row r="50" spans="2:26" s="217" customFormat="1" ht="18" customHeight="1">
      <c r="B50" s="260">
        <f t="shared" si="1"/>
        <v>7</v>
      </c>
      <c r="C50" s="291" t="s">
        <v>172</v>
      </c>
      <c r="D50" s="292"/>
      <c r="E50" s="293"/>
      <c r="F50" s="294"/>
      <c r="G50" s="295"/>
      <c r="H50" s="295"/>
      <c r="I50" s="294"/>
      <c r="J50" s="295"/>
      <c r="K50" s="295"/>
      <c r="L50" s="295"/>
      <c r="M50" s="296"/>
      <c r="N50" s="297"/>
      <c r="O50" s="298"/>
      <c r="P50" s="299"/>
      <c r="Q50" s="298"/>
      <c r="R50" s="300"/>
      <c r="S50" s="298"/>
      <c r="T50" s="298"/>
      <c r="U50" s="298"/>
      <c r="V50" s="249"/>
      <c r="W50" s="278">
        <f t="shared" si="2"/>
        <v>0</v>
      </c>
      <c r="X50" s="279"/>
      <c r="Y50" s="249"/>
      <c r="Z50" s="174"/>
    </row>
    <row r="51" spans="2:26" ht="18" customHeight="1">
      <c r="B51" s="266">
        <f t="shared" si="1"/>
        <v>8</v>
      </c>
      <c r="C51" s="301" t="s">
        <v>173</v>
      </c>
      <c r="D51" s="251" t="s">
        <v>174</v>
      </c>
      <c r="E51" s="252" t="s">
        <v>175</v>
      </c>
      <c r="F51" s="302">
        <v>5</v>
      </c>
      <c r="G51" s="272">
        <v>1295.56</v>
      </c>
      <c r="H51" s="272">
        <v>927.82</v>
      </c>
      <c r="I51" s="302"/>
      <c r="J51" s="272">
        <f>I51+H51+G51</f>
        <v>2223.38</v>
      </c>
      <c r="K51" s="272">
        <f>J51*F51</f>
        <v>11116.900000000001</v>
      </c>
      <c r="L51" s="273"/>
      <c r="M51" s="274">
        <f>L51*J51</f>
        <v>0</v>
      </c>
      <c r="N51" s="275"/>
      <c r="O51" s="276">
        <f>N51*J51</f>
        <v>0</v>
      </c>
      <c r="P51" s="273">
        <f>N51+L51</f>
        <v>0</v>
      </c>
      <c r="Q51" s="276">
        <f>P51*J51</f>
        <v>0</v>
      </c>
      <c r="R51" s="277">
        <f>IFERROR(Q51/K51,0)</f>
        <v>0</v>
      </c>
      <c r="S51" s="276">
        <f>F51-P51</f>
        <v>5</v>
      </c>
      <c r="T51" s="276">
        <f>K51-Q51</f>
        <v>11116.900000000001</v>
      </c>
      <c r="U51" s="276"/>
      <c r="V51" s="249"/>
      <c r="W51" s="278">
        <f t="shared" si="2"/>
        <v>0</v>
      </c>
      <c r="X51" s="279"/>
      <c r="Y51" s="249"/>
    </row>
    <row r="52" spans="2:26" ht="18" customHeight="1">
      <c r="B52" s="266">
        <f t="shared" si="1"/>
        <v>9</v>
      </c>
      <c r="C52" s="301" t="s">
        <v>176</v>
      </c>
      <c r="D52" s="251" t="s">
        <v>177</v>
      </c>
      <c r="E52" s="252" t="s">
        <v>175</v>
      </c>
      <c r="F52" s="251">
        <v>1</v>
      </c>
      <c r="G52" s="303">
        <v>2323.08</v>
      </c>
      <c r="H52" s="303">
        <v>1391.8</v>
      </c>
      <c r="I52" s="251"/>
      <c r="J52" s="272">
        <f>I52+H52+G52</f>
        <v>3714.88</v>
      </c>
      <c r="K52" s="272">
        <f>J52*F52</f>
        <v>3714.88</v>
      </c>
      <c r="L52" s="273"/>
      <c r="M52" s="274">
        <f>L52*J52</f>
        <v>0</v>
      </c>
      <c r="N52" s="275"/>
      <c r="O52" s="276">
        <f>N52*J52</f>
        <v>0</v>
      </c>
      <c r="P52" s="273">
        <f>N52+L52</f>
        <v>0</v>
      </c>
      <c r="Q52" s="276">
        <f>P52*J52</f>
        <v>0</v>
      </c>
      <c r="R52" s="277">
        <f>IFERROR(Q52/K52,0)</f>
        <v>0</v>
      </c>
      <c r="S52" s="276">
        <f>F52-P52</f>
        <v>1</v>
      </c>
      <c r="T52" s="276">
        <f>K52-Q52</f>
        <v>3714.88</v>
      </c>
      <c r="U52" s="276"/>
      <c r="V52" s="249"/>
      <c r="W52" s="278">
        <f t="shared" si="2"/>
        <v>0</v>
      </c>
      <c r="X52" s="279"/>
      <c r="Y52" s="249"/>
    </row>
    <row r="53" spans="2:26" ht="18" customHeight="1">
      <c r="B53" s="266">
        <f t="shared" si="1"/>
        <v>10</v>
      </c>
      <c r="C53" s="301" t="s">
        <v>178</v>
      </c>
      <c r="D53" s="251" t="s">
        <v>179</v>
      </c>
      <c r="E53" s="252" t="s">
        <v>175</v>
      </c>
      <c r="F53" s="251">
        <v>1</v>
      </c>
      <c r="G53" s="303">
        <v>1518.93</v>
      </c>
      <c r="H53" s="303">
        <v>973.77</v>
      </c>
      <c r="I53" s="251"/>
      <c r="J53" s="272">
        <f>I53+H53+G53</f>
        <v>2492.6999999999998</v>
      </c>
      <c r="K53" s="272">
        <f>J53*F53</f>
        <v>2492.6999999999998</v>
      </c>
      <c r="L53" s="273"/>
      <c r="M53" s="274">
        <f>L53*J53</f>
        <v>0</v>
      </c>
      <c r="N53" s="275"/>
      <c r="O53" s="276">
        <f>N53*J53</f>
        <v>0</v>
      </c>
      <c r="P53" s="273">
        <f>N53+L53</f>
        <v>0</v>
      </c>
      <c r="Q53" s="276">
        <f>P53*J53</f>
        <v>0</v>
      </c>
      <c r="R53" s="277">
        <f>IFERROR(Q53/K53,0)</f>
        <v>0</v>
      </c>
      <c r="S53" s="276">
        <f>F53-P53</f>
        <v>1</v>
      </c>
      <c r="T53" s="276">
        <f>K53-Q53</f>
        <v>2492.6999999999998</v>
      </c>
      <c r="U53" s="276"/>
      <c r="V53" s="249"/>
      <c r="W53" s="278">
        <f t="shared" si="2"/>
        <v>0</v>
      </c>
      <c r="X53" s="279"/>
      <c r="Y53" s="249"/>
    </row>
    <row r="54" spans="2:26" ht="18" customHeight="1">
      <c r="B54" s="266">
        <f t="shared" si="1"/>
        <v>11</v>
      </c>
      <c r="C54" s="301" t="s">
        <v>180</v>
      </c>
      <c r="D54" s="251" t="s">
        <v>181</v>
      </c>
      <c r="E54" s="252" t="s">
        <v>175</v>
      </c>
      <c r="F54" s="251">
        <v>2</v>
      </c>
      <c r="G54" s="303">
        <v>2680.48</v>
      </c>
      <c r="H54" s="303">
        <v>1499</v>
      </c>
      <c r="I54" s="251"/>
      <c r="J54" s="272">
        <f>I54+H54+G54</f>
        <v>4179.4799999999996</v>
      </c>
      <c r="K54" s="272">
        <f>J54*F54</f>
        <v>8358.9599999999991</v>
      </c>
      <c r="L54" s="273"/>
      <c r="M54" s="274">
        <f>L54*J54</f>
        <v>0</v>
      </c>
      <c r="N54" s="275"/>
      <c r="O54" s="276">
        <f>N54*J54</f>
        <v>0</v>
      </c>
      <c r="P54" s="273">
        <f>N54+L54</f>
        <v>0</v>
      </c>
      <c r="Q54" s="276">
        <f>P54*J54</f>
        <v>0</v>
      </c>
      <c r="R54" s="277">
        <f>IFERROR(Q54/K54,0)</f>
        <v>0</v>
      </c>
      <c r="S54" s="276">
        <f>F54-P54</f>
        <v>2</v>
      </c>
      <c r="T54" s="276">
        <f>K54-Q54</f>
        <v>8358.9599999999991</v>
      </c>
      <c r="U54" s="276"/>
      <c r="V54" s="249"/>
      <c r="W54" s="278">
        <f t="shared" si="2"/>
        <v>0</v>
      </c>
      <c r="X54" s="279"/>
      <c r="Y54" s="249"/>
    </row>
    <row r="55" spans="2:26" ht="18" customHeight="1">
      <c r="B55" s="266">
        <f t="shared" si="1"/>
        <v>12</v>
      </c>
      <c r="C55" s="301"/>
      <c r="D55" s="251"/>
      <c r="E55" s="252"/>
      <c r="F55" s="251"/>
      <c r="G55" s="303"/>
      <c r="H55" s="303"/>
      <c r="I55" s="251"/>
      <c r="J55" s="272"/>
      <c r="K55" s="272"/>
      <c r="L55" s="273"/>
      <c r="M55" s="274"/>
      <c r="N55" s="275"/>
      <c r="O55" s="276"/>
      <c r="P55" s="273"/>
      <c r="Q55" s="276"/>
      <c r="R55" s="277"/>
      <c r="S55" s="276"/>
      <c r="T55" s="276"/>
      <c r="U55" s="276"/>
      <c r="V55" s="249"/>
      <c r="W55" s="278">
        <f t="shared" si="2"/>
        <v>0</v>
      </c>
      <c r="X55" s="279"/>
      <c r="Y55" s="249"/>
    </row>
    <row r="56" spans="2:26" s="304" customFormat="1" ht="18" customHeight="1">
      <c r="B56" s="281">
        <f t="shared" si="1"/>
        <v>13</v>
      </c>
      <c r="C56" s="305" t="s">
        <v>171</v>
      </c>
      <c r="D56" s="306"/>
      <c r="E56" s="307"/>
      <c r="F56" s="306"/>
      <c r="G56" s="308"/>
      <c r="H56" s="308"/>
      <c r="I56" s="306"/>
      <c r="J56" s="287"/>
      <c r="K56" s="309">
        <f>SUM(K51:K55)</f>
        <v>25683.440000000002</v>
      </c>
      <c r="L56" s="288"/>
      <c r="M56" s="309">
        <f>SUM(M51:M55)</f>
        <v>0</v>
      </c>
      <c r="N56" s="288"/>
      <c r="O56" s="287">
        <f>Q56-M56</f>
        <v>0</v>
      </c>
      <c r="P56" s="288"/>
      <c r="Q56" s="309">
        <f>SUM(Q51:Q55)</f>
        <v>0</v>
      </c>
      <c r="R56" s="289">
        <f>IFERROR(+Q56/K56,0)</f>
        <v>0</v>
      </c>
      <c r="S56" s="290"/>
      <c r="T56" s="290">
        <f>SUM(T51:T55)</f>
        <v>25683.440000000002</v>
      </c>
      <c r="U56" s="290"/>
      <c r="V56" s="249"/>
      <c r="W56" s="278">
        <f t="shared" si="2"/>
        <v>0</v>
      </c>
      <c r="X56" s="279"/>
      <c r="Y56" s="249"/>
      <c r="Z56" s="174"/>
    </row>
    <row r="57" spans="2:26" s="217" customFormat="1" ht="18" customHeight="1">
      <c r="B57" s="260">
        <f t="shared" si="1"/>
        <v>14</v>
      </c>
      <c r="C57" s="291" t="s">
        <v>182</v>
      </c>
      <c r="D57" s="310"/>
      <c r="E57" s="293"/>
      <c r="F57" s="310"/>
      <c r="G57" s="311"/>
      <c r="H57" s="311"/>
      <c r="I57" s="310"/>
      <c r="J57" s="295"/>
      <c r="K57" s="295"/>
      <c r="L57" s="299"/>
      <c r="M57" s="296"/>
      <c r="N57" s="297"/>
      <c r="O57" s="298"/>
      <c r="P57" s="299"/>
      <c r="Q57" s="298"/>
      <c r="R57" s="300"/>
      <c r="S57" s="298"/>
      <c r="T57" s="298"/>
      <c r="U57" s="298"/>
      <c r="V57" s="249"/>
      <c r="W57" s="278">
        <f t="shared" si="2"/>
        <v>0</v>
      </c>
      <c r="X57" s="279"/>
      <c r="Y57" s="249"/>
      <c r="Z57" s="174"/>
    </row>
    <row r="58" spans="2:26" ht="18" customHeight="1">
      <c r="B58" s="266">
        <f t="shared" si="1"/>
        <v>15</v>
      </c>
      <c r="C58" s="301" t="s">
        <v>183</v>
      </c>
      <c r="D58" s="251" t="s">
        <v>184</v>
      </c>
      <c r="E58" s="252" t="s">
        <v>185</v>
      </c>
      <c r="F58" s="251">
        <v>2088</v>
      </c>
      <c r="G58" s="303">
        <v>2.75</v>
      </c>
      <c r="H58" s="303">
        <v>7.24</v>
      </c>
      <c r="I58" s="251"/>
      <c r="J58" s="272">
        <f t="shared" ref="J58:J63" si="3">I58+H58+G58</f>
        <v>9.99</v>
      </c>
      <c r="K58" s="272">
        <f t="shared" ref="K58:K63" si="4">J58*F58</f>
        <v>20859.12</v>
      </c>
      <c r="L58" s="273"/>
      <c r="M58" s="274">
        <f t="shared" ref="M58:M63" si="5">L58*J58</f>
        <v>0</v>
      </c>
      <c r="N58" s="275">
        <v>1044</v>
      </c>
      <c r="O58" s="276">
        <f t="shared" ref="O58:O63" si="6">N58*J58</f>
        <v>10429.56</v>
      </c>
      <c r="P58" s="273">
        <f t="shared" ref="P58:P63" si="7">N58+L58</f>
        <v>1044</v>
      </c>
      <c r="Q58" s="276">
        <f t="shared" ref="Q58:Q63" si="8">P58*J58</f>
        <v>10429.56</v>
      </c>
      <c r="R58" s="277">
        <f t="shared" ref="R58:R63" si="9">IFERROR(Q58/K58,0)</f>
        <v>0.5</v>
      </c>
      <c r="S58" s="276">
        <f t="shared" ref="S58:S63" si="10">F58-P58</f>
        <v>1044</v>
      </c>
      <c r="T58" s="276">
        <f t="shared" ref="T58:T63" si="11">K58-Q58</f>
        <v>10429.56</v>
      </c>
      <c r="U58" s="276"/>
      <c r="V58" s="249"/>
      <c r="W58" s="278">
        <f t="shared" si="2"/>
        <v>0</v>
      </c>
      <c r="X58" s="279"/>
      <c r="Y58" s="249"/>
      <c r="Z58" s="265"/>
    </row>
    <row r="59" spans="2:26" ht="18" customHeight="1">
      <c r="B59" s="266">
        <f t="shared" si="1"/>
        <v>16</v>
      </c>
      <c r="C59" s="301" t="s">
        <v>186</v>
      </c>
      <c r="D59" s="251" t="s">
        <v>187</v>
      </c>
      <c r="E59" s="252" t="s">
        <v>185</v>
      </c>
      <c r="F59" s="251">
        <v>1885</v>
      </c>
      <c r="G59" s="303">
        <v>3.92</v>
      </c>
      <c r="H59" s="303">
        <v>9.5500000000000007</v>
      </c>
      <c r="I59" s="251"/>
      <c r="J59" s="272">
        <f t="shared" si="3"/>
        <v>13.47</v>
      </c>
      <c r="K59" s="272">
        <f t="shared" si="4"/>
        <v>25390.95</v>
      </c>
      <c r="L59" s="273"/>
      <c r="M59" s="274">
        <f t="shared" si="5"/>
        <v>0</v>
      </c>
      <c r="N59" s="275">
        <v>942.5</v>
      </c>
      <c r="O59" s="276">
        <f t="shared" si="6"/>
        <v>12695.475</v>
      </c>
      <c r="P59" s="273">
        <f t="shared" si="7"/>
        <v>942.5</v>
      </c>
      <c r="Q59" s="276">
        <f t="shared" si="8"/>
        <v>12695.475</v>
      </c>
      <c r="R59" s="277">
        <f t="shared" si="9"/>
        <v>0.5</v>
      </c>
      <c r="S59" s="276">
        <f t="shared" si="10"/>
        <v>942.5</v>
      </c>
      <c r="T59" s="276">
        <f t="shared" si="11"/>
        <v>12695.475</v>
      </c>
      <c r="U59" s="276"/>
      <c r="V59" s="249"/>
      <c r="W59" s="278">
        <f t="shared" si="2"/>
        <v>0</v>
      </c>
      <c r="X59" s="279"/>
      <c r="Y59" s="249"/>
      <c r="Z59" s="265"/>
    </row>
    <row r="60" spans="2:26" ht="18" customHeight="1">
      <c r="B60" s="266">
        <f t="shared" si="1"/>
        <v>17</v>
      </c>
      <c r="C60" s="301" t="s">
        <v>188</v>
      </c>
      <c r="D60" s="251" t="s">
        <v>189</v>
      </c>
      <c r="E60" s="252" t="s">
        <v>185</v>
      </c>
      <c r="F60" s="251">
        <v>553</v>
      </c>
      <c r="G60" s="303">
        <v>2.5</v>
      </c>
      <c r="H60" s="303">
        <v>6.93</v>
      </c>
      <c r="I60" s="251"/>
      <c r="J60" s="272">
        <f t="shared" si="3"/>
        <v>9.43</v>
      </c>
      <c r="K60" s="272">
        <f t="shared" si="4"/>
        <v>5214.79</v>
      </c>
      <c r="L60" s="273"/>
      <c r="M60" s="274">
        <f t="shared" si="5"/>
        <v>0</v>
      </c>
      <c r="N60" s="275">
        <v>276.5</v>
      </c>
      <c r="O60" s="276">
        <f t="shared" si="6"/>
        <v>2607.395</v>
      </c>
      <c r="P60" s="273">
        <f t="shared" si="7"/>
        <v>276.5</v>
      </c>
      <c r="Q60" s="276">
        <f t="shared" si="8"/>
        <v>2607.395</v>
      </c>
      <c r="R60" s="277">
        <f t="shared" si="9"/>
        <v>0.5</v>
      </c>
      <c r="S60" s="276">
        <f t="shared" si="10"/>
        <v>276.5</v>
      </c>
      <c r="T60" s="276">
        <f t="shared" si="11"/>
        <v>2607.395</v>
      </c>
      <c r="U60" s="276"/>
      <c r="V60" s="249"/>
      <c r="W60" s="278">
        <f t="shared" si="2"/>
        <v>0</v>
      </c>
      <c r="X60" s="279"/>
      <c r="Y60" s="249"/>
      <c r="Z60" s="265"/>
    </row>
    <row r="61" spans="2:26" ht="18" customHeight="1">
      <c r="B61" s="266">
        <f t="shared" si="1"/>
        <v>18</v>
      </c>
      <c r="C61" s="301" t="s">
        <v>190</v>
      </c>
      <c r="D61" s="251" t="s">
        <v>191</v>
      </c>
      <c r="E61" s="252" t="s">
        <v>185</v>
      </c>
      <c r="F61" s="251">
        <v>2906</v>
      </c>
      <c r="G61" s="303">
        <v>3.57</v>
      </c>
      <c r="H61" s="303">
        <v>8.94</v>
      </c>
      <c r="I61" s="251"/>
      <c r="J61" s="272">
        <f t="shared" si="3"/>
        <v>12.51</v>
      </c>
      <c r="K61" s="272">
        <f t="shared" si="4"/>
        <v>36354.06</v>
      </c>
      <c r="L61" s="273"/>
      <c r="M61" s="274">
        <f t="shared" si="5"/>
        <v>0</v>
      </c>
      <c r="N61" s="275">
        <v>1453</v>
      </c>
      <c r="O61" s="276">
        <f t="shared" si="6"/>
        <v>18177.03</v>
      </c>
      <c r="P61" s="273">
        <f t="shared" si="7"/>
        <v>1453</v>
      </c>
      <c r="Q61" s="276">
        <f t="shared" si="8"/>
        <v>18177.03</v>
      </c>
      <c r="R61" s="277">
        <f t="shared" si="9"/>
        <v>0.5</v>
      </c>
      <c r="S61" s="276">
        <f t="shared" si="10"/>
        <v>1453</v>
      </c>
      <c r="T61" s="276">
        <f t="shared" si="11"/>
        <v>18177.03</v>
      </c>
      <c r="U61" s="276"/>
      <c r="V61" s="249"/>
      <c r="W61" s="278">
        <f t="shared" si="2"/>
        <v>0</v>
      </c>
      <c r="X61" s="279"/>
      <c r="Y61" s="249"/>
    </row>
    <row r="62" spans="2:26" ht="18" customHeight="1">
      <c r="B62" s="266">
        <f t="shared" si="1"/>
        <v>19</v>
      </c>
      <c r="C62" s="301" t="s">
        <v>192</v>
      </c>
      <c r="D62" s="251" t="s">
        <v>193</v>
      </c>
      <c r="E62" s="252" t="s">
        <v>185</v>
      </c>
      <c r="F62" s="251">
        <v>320</v>
      </c>
      <c r="G62" s="303">
        <v>2.21</v>
      </c>
      <c r="H62" s="303">
        <v>7.68</v>
      </c>
      <c r="I62" s="251"/>
      <c r="J62" s="272">
        <f t="shared" si="3"/>
        <v>9.89</v>
      </c>
      <c r="K62" s="272">
        <f t="shared" si="4"/>
        <v>3164.8</v>
      </c>
      <c r="L62" s="273"/>
      <c r="M62" s="274">
        <f t="shared" si="5"/>
        <v>0</v>
      </c>
      <c r="N62" s="275"/>
      <c r="O62" s="276">
        <f t="shared" si="6"/>
        <v>0</v>
      </c>
      <c r="P62" s="273">
        <f t="shared" si="7"/>
        <v>0</v>
      </c>
      <c r="Q62" s="276">
        <f t="shared" si="8"/>
        <v>0</v>
      </c>
      <c r="R62" s="277">
        <f t="shared" si="9"/>
        <v>0</v>
      </c>
      <c r="S62" s="276">
        <f t="shared" si="10"/>
        <v>320</v>
      </c>
      <c r="T62" s="276">
        <f t="shared" si="11"/>
        <v>3164.8</v>
      </c>
      <c r="U62" s="276"/>
      <c r="V62" s="249"/>
      <c r="W62" s="278">
        <f t="shared" si="2"/>
        <v>0</v>
      </c>
      <c r="X62" s="279"/>
      <c r="Y62" s="249"/>
    </row>
    <row r="63" spans="2:26" ht="18" customHeight="1">
      <c r="B63" s="266">
        <f t="shared" si="1"/>
        <v>20</v>
      </c>
      <c r="C63" s="301" t="s">
        <v>194</v>
      </c>
      <c r="D63" s="251" t="s">
        <v>195</v>
      </c>
      <c r="E63" s="252" t="s">
        <v>185</v>
      </c>
      <c r="F63" s="251">
        <v>320</v>
      </c>
      <c r="G63" s="303">
        <v>2.67</v>
      </c>
      <c r="H63" s="303">
        <v>8.4700000000000006</v>
      </c>
      <c r="I63" s="251"/>
      <c r="J63" s="272">
        <f t="shared" si="3"/>
        <v>11.14</v>
      </c>
      <c r="K63" s="272">
        <f t="shared" si="4"/>
        <v>3564.8</v>
      </c>
      <c r="L63" s="273"/>
      <c r="M63" s="274">
        <f t="shared" si="5"/>
        <v>0</v>
      </c>
      <c r="N63" s="275"/>
      <c r="O63" s="276">
        <f t="shared" si="6"/>
        <v>0</v>
      </c>
      <c r="P63" s="273">
        <f t="shared" si="7"/>
        <v>0</v>
      </c>
      <c r="Q63" s="276">
        <f t="shared" si="8"/>
        <v>0</v>
      </c>
      <c r="R63" s="277">
        <f t="shared" si="9"/>
        <v>0</v>
      </c>
      <c r="S63" s="276">
        <f t="shared" si="10"/>
        <v>320</v>
      </c>
      <c r="T63" s="276">
        <f t="shared" si="11"/>
        <v>3564.8</v>
      </c>
      <c r="U63" s="276"/>
      <c r="V63" s="249"/>
      <c r="W63" s="278">
        <f t="shared" si="2"/>
        <v>0</v>
      </c>
      <c r="X63" s="279"/>
      <c r="Y63" s="249"/>
    </row>
    <row r="64" spans="2:26" ht="18" customHeight="1">
      <c r="B64" s="266">
        <f t="shared" si="1"/>
        <v>21</v>
      </c>
      <c r="C64" s="301"/>
      <c r="D64" s="251"/>
      <c r="E64" s="252"/>
      <c r="F64" s="251"/>
      <c r="G64" s="303"/>
      <c r="H64" s="303"/>
      <c r="I64" s="251"/>
      <c r="J64" s="272"/>
      <c r="K64" s="272"/>
      <c r="L64" s="273"/>
      <c r="M64" s="274"/>
      <c r="N64" s="275"/>
      <c r="O64" s="276"/>
      <c r="P64" s="273"/>
      <c r="Q64" s="276"/>
      <c r="R64" s="277"/>
      <c r="S64" s="276"/>
      <c r="T64" s="276"/>
      <c r="U64" s="276"/>
      <c r="V64" s="249"/>
      <c r="W64" s="278">
        <f t="shared" si="2"/>
        <v>0</v>
      </c>
      <c r="X64" s="279"/>
      <c r="Y64" s="249"/>
    </row>
    <row r="65" spans="2:26" s="304" customFormat="1" ht="18" customHeight="1">
      <c r="B65" s="281">
        <f t="shared" si="1"/>
        <v>22</v>
      </c>
      <c r="C65" s="305" t="s">
        <v>171</v>
      </c>
      <c r="D65" s="306"/>
      <c r="E65" s="307"/>
      <c r="F65" s="306"/>
      <c r="G65" s="308"/>
      <c r="H65" s="308"/>
      <c r="I65" s="306"/>
      <c r="J65" s="287"/>
      <c r="K65" s="309">
        <f>SUM(K58:K63)</f>
        <v>94548.52</v>
      </c>
      <c r="L65" s="288"/>
      <c r="M65" s="309">
        <f>SUM(M58:M63)</f>
        <v>0</v>
      </c>
      <c r="N65" s="288"/>
      <c r="O65" s="287">
        <f>Q65-M65</f>
        <v>43909.46</v>
      </c>
      <c r="P65" s="288"/>
      <c r="Q65" s="309">
        <f>SUM(Q58:Q64)</f>
        <v>43909.46</v>
      </c>
      <c r="R65" s="289">
        <f>IFERROR(+Q65/K65,0)</f>
        <v>0.46441192310572388</v>
      </c>
      <c r="S65" s="290"/>
      <c r="T65" s="290">
        <f>SUM(T58:T64)</f>
        <v>50639.060000000005</v>
      </c>
      <c r="U65" s="290"/>
      <c r="V65" s="249"/>
      <c r="W65" s="278">
        <f t="shared" si="2"/>
        <v>0</v>
      </c>
      <c r="X65" s="279"/>
      <c r="Y65" s="249"/>
      <c r="Z65" s="265"/>
    </row>
    <row r="66" spans="2:26" s="217" customFormat="1" ht="18" customHeight="1">
      <c r="B66" s="260">
        <f t="shared" si="1"/>
        <v>23</v>
      </c>
      <c r="C66" s="291" t="s">
        <v>196</v>
      </c>
      <c r="D66" s="310"/>
      <c r="E66" s="293"/>
      <c r="F66" s="310"/>
      <c r="G66" s="311"/>
      <c r="H66" s="311"/>
      <c r="I66" s="310"/>
      <c r="J66" s="295"/>
      <c r="K66" s="295"/>
      <c r="L66" s="299"/>
      <c r="M66" s="296"/>
      <c r="N66" s="297"/>
      <c r="O66" s="298"/>
      <c r="P66" s="299"/>
      <c r="Q66" s="298"/>
      <c r="R66" s="300"/>
      <c r="S66" s="298"/>
      <c r="T66" s="298"/>
      <c r="U66" s="298"/>
      <c r="V66" s="249"/>
      <c r="W66" s="278">
        <f t="shared" si="2"/>
        <v>0</v>
      </c>
      <c r="X66" s="279"/>
      <c r="Y66" s="249"/>
      <c r="Z66" s="174"/>
    </row>
    <row r="67" spans="2:26" ht="18" customHeight="1">
      <c r="B67" s="266">
        <f t="shared" si="1"/>
        <v>24</v>
      </c>
      <c r="C67" s="301" t="s">
        <v>197</v>
      </c>
      <c r="D67" s="251" t="s">
        <v>198</v>
      </c>
      <c r="E67" s="252" t="s">
        <v>185</v>
      </c>
      <c r="F67" s="251">
        <v>6182</v>
      </c>
      <c r="G67" s="303">
        <v>0.48</v>
      </c>
      <c r="H67" s="303">
        <v>2.31</v>
      </c>
      <c r="I67" s="251"/>
      <c r="J67" s="272">
        <f t="shared" ref="J67:J72" si="12">I67+H67+G67</f>
        <v>2.79</v>
      </c>
      <c r="K67" s="272">
        <f t="shared" ref="K67:K72" si="13">J67*F67</f>
        <v>17247.78</v>
      </c>
      <c r="L67" s="273"/>
      <c r="M67" s="274">
        <f t="shared" ref="M67:M72" si="14">L67*J67</f>
        <v>0</v>
      </c>
      <c r="N67" s="275"/>
      <c r="O67" s="276">
        <f t="shared" ref="O67:O72" si="15">N67*J67</f>
        <v>0</v>
      </c>
      <c r="P67" s="273">
        <f t="shared" ref="P67:P72" si="16">N67+L67</f>
        <v>0</v>
      </c>
      <c r="Q67" s="276">
        <f t="shared" ref="Q67:Q72" si="17">P67*J67</f>
        <v>0</v>
      </c>
      <c r="R67" s="277">
        <f t="shared" ref="R67:R72" si="18">IFERROR(Q67/K67,0)</f>
        <v>0</v>
      </c>
      <c r="S67" s="276">
        <f t="shared" ref="S67:S72" si="19">F67-P67</f>
        <v>6182</v>
      </c>
      <c r="T67" s="276">
        <f t="shared" ref="T67:T72" si="20">K67-Q67</f>
        <v>17247.78</v>
      </c>
      <c r="U67" s="276"/>
      <c r="V67" s="249"/>
      <c r="W67" s="278">
        <f t="shared" si="2"/>
        <v>0</v>
      </c>
      <c r="X67" s="279"/>
      <c r="Y67" s="249"/>
    </row>
    <row r="68" spans="2:26" ht="18" customHeight="1">
      <c r="B68" s="266">
        <f t="shared" si="1"/>
        <v>25</v>
      </c>
      <c r="C68" s="301" t="s">
        <v>199</v>
      </c>
      <c r="D68" s="251" t="s">
        <v>200</v>
      </c>
      <c r="E68" s="252" t="s">
        <v>185</v>
      </c>
      <c r="F68" s="251">
        <v>311</v>
      </c>
      <c r="G68" s="303">
        <v>46.53</v>
      </c>
      <c r="H68" s="303">
        <v>51.11</v>
      </c>
      <c r="I68" s="251"/>
      <c r="J68" s="272">
        <f t="shared" si="12"/>
        <v>97.64</v>
      </c>
      <c r="K68" s="272">
        <f t="shared" si="13"/>
        <v>30366.04</v>
      </c>
      <c r="L68" s="273"/>
      <c r="M68" s="274">
        <f t="shared" si="14"/>
        <v>0</v>
      </c>
      <c r="N68" s="275"/>
      <c r="O68" s="276">
        <f t="shared" si="15"/>
        <v>0</v>
      </c>
      <c r="P68" s="273">
        <f t="shared" si="16"/>
        <v>0</v>
      </c>
      <c r="Q68" s="276">
        <f t="shared" si="17"/>
        <v>0</v>
      </c>
      <c r="R68" s="277">
        <f t="shared" si="18"/>
        <v>0</v>
      </c>
      <c r="S68" s="276">
        <f t="shared" si="19"/>
        <v>311</v>
      </c>
      <c r="T68" s="276">
        <f t="shared" si="20"/>
        <v>30366.04</v>
      </c>
      <c r="U68" s="276"/>
      <c r="V68" s="249"/>
      <c r="W68" s="278">
        <f t="shared" si="2"/>
        <v>0</v>
      </c>
      <c r="X68" s="279"/>
      <c r="Y68" s="249"/>
    </row>
    <row r="69" spans="2:26" ht="18" customHeight="1">
      <c r="B69" s="266">
        <f t="shared" si="1"/>
        <v>26</v>
      </c>
      <c r="C69" s="301" t="s">
        <v>201</v>
      </c>
      <c r="D69" s="251" t="s">
        <v>202</v>
      </c>
      <c r="E69" s="252" t="s">
        <v>185</v>
      </c>
      <c r="F69" s="251">
        <v>1019</v>
      </c>
      <c r="G69" s="303">
        <v>2.86</v>
      </c>
      <c r="H69" s="303">
        <v>7.37</v>
      </c>
      <c r="I69" s="251"/>
      <c r="J69" s="272">
        <f t="shared" si="12"/>
        <v>10.23</v>
      </c>
      <c r="K69" s="272">
        <f t="shared" si="13"/>
        <v>10424.370000000001</v>
      </c>
      <c r="L69" s="273"/>
      <c r="M69" s="274">
        <f t="shared" si="14"/>
        <v>0</v>
      </c>
      <c r="N69" s="275"/>
      <c r="O69" s="276">
        <f t="shared" si="15"/>
        <v>0</v>
      </c>
      <c r="P69" s="273">
        <f t="shared" si="16"/>
        <v>0</v>
      </c>
      <c r="Q69" s="276">
        <f t="shared" si="17"/>
        <v>0</v>
      </c>
      <c r="R69" s="277">
        <f t="shared" si="18"/>
        <v>0</v>
      </c>
      <c r="S69" s="276">
        <f t="shared" si="19"/>
        <v>1019</v>
      </c>
      <c r="T69" s="276">
        <f t="shared" si="20"/>
        <v>10424.370000000001</v>
      </c>
      <c r="U69" s="276"/>
      <c r="V69" s="249"/>
      <c r="W69" s="278">
        <f t="shared" si="2"/>
        <v>0</v>
      </c>
      <c r="X69" s="279"/>
      <c r="Y69" s="249"/>
    </row>
    <row r="70" spans="2:26" ht="18" customHeight="1">
      <c r="B70" s="266">
        <f t="shared" si="1"/>
        <v>27</v>
      </c>
      <c r="C70" s="301" t="s">
        <v>203</v>
      </c>
      <c r="D70" s="251" t="s">
        <v>204</v>
      </c>
      <c r="E70" s="252" t="s">
        <v>166</v>
      </c>
      <c r="F70" s="251">
        <v>231.25</v>
      </c>
      <c r="G70" s="303">
        <v>8.0399999999999991</v>
      </c>
      <c r="H70" s="303">
        <v>13.88</v>
      </c>
      <c r="I70" s="251"/>
      <c r="J70" s="272">
        <f t="shared" si="12"/>
        <v>21.92</v>
      </c>
      <c r="K70" s="272">
        <f t="shared" si="13"/>
        <v>5069</v>
      </c>
      <c r="L70" s="273"/>
      <c r="M70" s="274">
        <f t="shared" si="14"/>
        <v>0</v>
      </c>
      <c r="N70" s="275"/>
      <c r="O70" s="276">
        <f t="shared" si="15"/>
        <v>0</v>
      </c>
      <c r="P70" s="273">
        <f t="shared" si="16"/>
        <v>0</v>
      </c>
      <c r="Q70" s="276">
        <f t="shared" si="17"/>
        <v>0</v>
      </c>
      <c r="R70" s="277">
        <f t="shared" si="18"/>
        <v>0</v>
      </c>
      <c r="S70" s="276">
        <f t="shared" si="19"/>
        <v>231.25</v>
      </c>
      <c r="T70" s="276">
        <f t="shared" si="20"/>
        <v>5069</v>
      </c>
      <c r="U70" s="276"/>
      <c r="V70" s="249"/>
      <c r="W70" s="278">
        <f t="shared" si="2"/>
        <v>0</v>
      </c>
      <c r="X70" s="279"/>
      <c r="Y70" s="249"/>
    </row>
    <row r="71" spans="2:26" ht="18" customHeight="1">
      <c r="B71" s="266">
        <f t="shared" si="1"/>
        <v>28</v>
      </c>
      <c r="C71" s="301" t="s">
        <v>205</v>
      </c>
      <c r="D71" s="251" t="s">
        <v>206</v>
      </c>
      <c r="E71" s="252" t="s">
        <v>185</v>
      </c>
      <c r="F71" s="251">
        <v>1500</v>
      </c>
      <c r="G71" s="303">
        <v>3.03</v>
      </c>
      <c r="H71" s="303">
        <v>5.37</v>
      </c>
      <c r="I71" s="251"/>
      <c r="J71" s="272">
        <f t="shared" si="12"/>
        <v>8.4</v>
      </c>
      <c r="K71" s="272">
        <f t="shared" si="13"/>
        <v>12600</v>
      </c>
      <c r="L71" s="273"/>
      <c r="M71" s="274">
        <f t="shared" si="14"/>
        <v>0</v>
      </c>
      <c r="N71" s="275"/>
      <c r="O71" s="276">
        <f t="shared" si="15"/>
        <v>0</v>
      </c>
      <c r="P71" s="273">
        <f t="shared" si="16"/>
        <v>0</v>
      </c>
      <c r="Q71" s="276">
        <f t="shared" si="17"/>
        <v>0</v>
      </c>
      <c r="R71" s="277">
        <f t="shared" si="18"/>
        <v>0</v>
      </c>
      <c r="S71" s="276">
        <f t="shared" si="19"/>
        <v>1500</v>
      </c>
      <c r="T71" s="276">
        <f t="shared" si="20"/>
        <v>12600</v>
      </c>
      <c r="U71" s="276"/>
      <c r="V71" s="249"/>
      <c r="W71" s="278">
        <f t="shared" si="2"/>
        <v>0</v>
      </c>
      <c r="X71" s="279"/>
      <c r="Y71" s="249"/>
    </row>
    <row r="72" spans="2:26" ht="18" customHeight="1">
      <c r="B72" s="266">
        <f t="shared" si="1"/>
        <v>29</v>
      </c>
      <c r="C72" s="301" t="s">
        <v>207</v>
      </c>
      <c r="D72" s="251" t="s">
        <v>208</v>
      </c>
      <c r="E72" s="252" t="s">
        <v>185</v>
      </c>
      <c r="F72" s="251">
        <v>1000</v>
      </c>
      <c r="G72" s="303">
        <v>2.5</v>
      </c>
      <c r="H72" s="303">
        <v>5.07</v>
      </c>
      <c r="I72" s="251"/>
      <c r="J72" s="272">
        <f t="shared" si="12"/>
        <v>7.57</v>
      </c>
      <c r="K72" s="272">
        <f t="shared" si="13"/>
        <v>7570</v>
      </c>
      <c r="L72" s="273"/>
      <c r="M72" s="274">
        <f t="shared" si="14"/>
        <v>0</v>
      </c>
      <c r="N72" s="275"/>
      <c r="O72" s="276">
        <f t="shared" si="15"/>
        <v>0</v>
      </c>
      <c r="P72" s="273">
        <f t="shared" si="16"/>
        <v>0</v>
      </c>
      <c r="Q72" s="276">
        <f t="shared" si="17"/>
        <v>0</v>
      </c>
      <c r="R72" s="277">
        <f t="shared" si="18"/>
        <v>0</v>
      </c>
      <c r="S72" s="276">
        <f t="shared" si="19"/>
        <v>1000</v>
      </c>
      <c r="T72" s="276">
        <f t="shared" si="20"/>
        <v>7570</v>
      </c>
      <c r="U72" s="276"/>
      <c r="V72" s="249"/>
      <c r="W72" s="278">
        <f t="shared" si="2"/>
        <v>0</v>
      </c>
      <c r="X72" s="279"/>
      <c r="Y72" s="249"/>
    </row>
    <row r="73" spans="2:26" ht="18" customHeight="1">
      <c r="B73" s="266">
        <f t="shared" si="1"/>
        <v>30</v>
      </c>
      <c r="C73" s="301"/>
      <c r="D73" s="251"/>
      <c r="E73" s="252"/>
      <c r="F73" s="251"/>
      <c r="G73" s="303"/>
      <c r="H73" s="303"/>
      <c r="I73" s="251"/>
      <c r="J73" s="272"/>
      <c r="K73" s="272"/>
      <c r="L73" s="273"/>
      <c r="M73" s="274"/>
      <c r="N73" s="275"/>
      <c r="O73" s="276"/>
      <c r="P73" s="273"/>
      <c r="Q73" s="276"/>
      <c r="R73" s="277"/>
      <c r="S73" s="276"/>
      <c r="T73" s="276"/>
      <c r="U73" s="276"/>
      <c r="V73" s="249"/>
      <c r="W73" s="278">
        <f t="shared" si="2"/>
        <v>0</v>
      </c>
      <c r="X73" s="279"/>
      <c r="Y73" s="249"/>
    </row>
    <row r="74" spans="2:26" s="304" customFormat="1" ht="18" customHeight="1">
      <c r="B74" s="281">
        <f t="shared" si="1"/>
        <v>31</v>
      </c>
      <c r="C74" s="305" t="s">
        <v>171</v>
      </c>
      <c r="D74" s="306"/>
      <c r="E74" s="307"/>
      <c r="F74" s="306"/>
      <c r="G74" s="308"/>
      <c r="H74" s="308"/>
      <c r="I74" s="306"/>
      <c r="J74" s="287"/>
      <c r="K74" s="309">
        <f>SUM(K67:K73)</f>
        <v>83277.19</v>
      </c>
      <c r="L74" s="288"/>
      <c r="M74" s="309">
        <f>SUM(M67:M73)</f>
        <v>0</v>
      </c>
      <c r="N74" s="288"/>
      <c r="O74" s="287">
        <f>Q74-M74</f>
        <v>0</v>
      </c>
      <c r="P74" s="288"/>
      <c r="Q74" s="309">
        <f>SUM(Q67:Q73)</f>
        <v>0</v>
      </c>
      <c r="R74" s="289">
        <f>IFERROR(+Q74/K74,0)</f>
        <v>0</v>
      </c>
      <c r="S74" s="290"/>
      <c r="T74" s="290">
        <f>SUM(T67:T73)</f>
        <v>83277.19</v>
      </c>
      <c r="U74" s="290"/>
      <c r="V74" s="249"/>
      <c r="W74" s="278">
        <f t="shared" si="2"/>
        <v>0</v>
      </c>
      <c r="X74" s="279"/>
      <c r="Y74" s="249"/>
      <c r="Z74" s="174"/>
    </row>
    <row r="75" spans="2:26" s="217" customFormat="1" ht="18" customHeight="1">
      <c r="B75" s="260">
        <f t="shared" si="1"/>
        <v>32</v>
      </c>
      <c r="C75" s="291" t="s">
        <v>209</v>
      </c>
      <c r="D75" s="310"/>
      <c r="E75" s="293"/>
      <c r="F75" s="310"/>
      <c r="G75" s="311"/>
      <c r="H75" s="311"/>
      <c r="I75" s="310"/>
      <c r="J75" s="295"/>
      <c r="K75" s="295"/>
      <c r="L75" s="299"/>
      <c r="M75" s="296"/>
      <c r="N75" s="297"/>
      <c r="O75" s="298"/>
      <c r="P75" s="299"/>
      <c r="Q75" s="298"/>
      <c r="R75" s="300"/>
      <c r="S75" s="298"/>
      <c r="T75" s="298"/>
      <c r="U75" s="298"/>
      <c r="V75" s="249"/>
      <c r="W75" s="278">
        <f t="shared" si="2"/>
        <v>0</v>
      </c>
      <c r="X75" s="279"/>
      <c r="Y75" s="249"/>
      <c r="Z75" s="174"/>
    </row>
    <row r="76" spans="2:26" ht="18" customHeight="1">
      <c r="B76" s="266">
        <f t="shared" si="1"/>
        <v>33</v>
      </c>
      <c r="C76" s="301" t="s">
        <v>210</v>
      </c>
      <c r="D76" s="251" t="s">
        <v>211</v>
      </c>
      <c r="E76" s="252" t="s">
        <v>212</v>
      </c>
      <c r="F76" s="251">
        <v>10</v>
      </c>
      <c r="G76" s="303">
        <v>0</v>
      </c>
      <c r="H76" s="303">
        <v>785.93</v>
      </c>
      <c r="I76" s="251"/>
      <c r="J76" s="272">
        <f t="shared" ref="J76:J82" si="21">I76+H76+G76</f>
        <v>785.93</v>
      </c>
      <c r="K76" s="272">
        <f t="shared" ref="K76:K82" si="22">J76*F76</f>
        <v>7859.2999999999993</v>
      </c>
      <c r="L76" s="273"/>
      <c r="M76" s="274">
        <f t="shared" ref="M76:M82" si="23">L76*J76</f>
        <v>0</v>
      </c>
      <c r="N76" s="275"/>
      <c r="O76" s="276">
        <f t="shared" ref="O76:O82" si="24">N76*J76</f>
        <v>0</v>
      </c>
      <c r="P76" s="273">
        <f t="shared" ref="P76:P82" si="25">N76+L76</f>
        <v>0</v>
      </c>
      <c r="Q76" s="276">
        <f t="shared" ref="Q76:Q82" si="26">P76*J76</f>
        <v>0</v>
      </c>
      <c r="R76" s="277">
        <f t="shared" ref="R76:R82" si="27">IFERROR(Q76/K76,0)</f>
        <v>0</v>
      </c>
      <c r="S76" s="276">
        <f t="shared" ref="S76:S82" si="28">F76-P76</f>
        <v>10</v>
      </c>
      <c r="T76" s="276">
        <f t="shared" ref="T76:T82" si="29">K76-Q76</f>
        <v>7859.2999999999993</v>
      </c>
      <c r="U76" s="276"/>
      <c r="V76" s="249"/>
      <c r="W76" s="278">
        <f t="shared" si="2"/>
        <v>0</v>
      </c>
      <c r="X76" s="279"/>
      <c r="Y76" s="249"/>
    </row>
    <row r="77" spans="2:26" ht="18" customHeight="1">
      <c r="B77" s="266">
        <f t="shared" si="1"/>
        <v>34</v>
      </c>
      <c r="C77" s="301" t="s">
        <v>213</v>
      </c>
      <c r="D77" s="251" t="s">
        <v>214</v>
      </c>
      <c r="E77" s="252" t="s">
        <v>212</v>
      </c>
      <c r="F77" s="251">
        <v>2</v>
      </c>
      <c r="G77" s="303">
        <v>196.54</v>
      </c>
      <c r="H77" s="303">
        <v>733.26</v>
      </c>
      <c r="I77" s="251"/>
      <c r="J77" s="272">
        <f t="shared" si="21"/>
        <v>929.8</v>
      </c>
      <c r="K77" s="272">
        <f t="shared" si="22"/>
        <v>1859.6</v>
      </c>
      <c r="L77" s="273"/>
      <c r="M77" s="274">
        <f t="shared" si="23"/>
        <v>0</v>
      </c>
      <c r="N77" s="275">
        <v>2</v>
      </c>
      <c r="O77" s="276">
        <f t="shared" si="24"/>
        <v>1859.6</v>
      </c>
      <c r="P77" s="273">
        <f t="shared" si="25"/>
        <v>2</v>
      </c>
      <c r="Q77" s="276">
        <f t="shared" si="26"/>
        <v>1859.6</v>
      </c>
      <c r="R77" s="277">
        <f t="shared" si="27"/>
        <v>1</v>
      </c>
      <c r="S77" s="276">
        <f t="shared" si="28"/>
        <v>0</v>
      </c>
      <c r="T77" s="276">
        <f t="shared" si="29"/>
        <v>0</v>
      </c>
      <c r="U77" s="276"/>
      <c r="V77" s="249"/>
      <c r="W77" s="278">
        <f t="shared" si="2"/>
        <v>0</v>
      </c>
      <c r="X77" s="279"/>
      <c r="Y77" s="249"/>
    </row>
    <row r="78" spans="2:26" ht="18" customHeight="1">
      <c r="B78" s="266">
        <f t="shared" si="1"/>
        <v>35</v>
      </c>
      <c r="C78" s="301" t="s">
        <v>215</v>
      </c>
      <c r="D78" s="251" t="s">
        <v>216</v>
      </c>
      <c r="E78" s="252" t="s">
        <v>217</v>
      </c>
      <c r="F78" s="251">
        <v>1</v>
      </c>
      <c r="G78" s="303">
        <v>1295.56</v>
      </c>
      <c r="H78" s="303">
        <v>2013.36</v>
      </c>
      <c r="I78" s="251"/>
      <c r="J78" s="272">
        <f t="shared" si="21"/>
        <v>3308.92</v>
      </c>
      <c r="K78" s="272">
        <f t="shared" si="22"/>
        <v>3308.92</v>
      </c>
      <c r="L78" s="273"/>
      <c r="M78" s="274">
        <f t="shared" si="23"/>
        <v>0</v>
      </c>
      <c r="N78" s="275"/>
      <c r="O78" s="276">
        <f t="shared" si="24"/>
        <v>0</v>
      </c>
      <c r="P78" s="273">
        <f t="shared" si="25"/>
        <v>0</v>
      </c>
      <c r="Q78" s="276">
        <f t="shared" si="26"/>
        <v>0</v>
      </c>
      <c r="R78" s="277">
        <f t="shared" si="27"/>
        <v>0</v>
      </c>
      <c r="S78" s="276">
        <f t="shared" si="28"/>
        <v>1</v>
      </c>
      <c r="T78" s="276">
        <f t="shared" si="29"/>
        <v>3308.92</v>
      </c>
      <c r="U78" s="276"/>
      <c r="V78" s="249"/>
      <c r="W78" s="278">
        <f t="shared" si="2"/>
        <v>0</v>
      </c>
      <c r="X78" s="279"/>
      <c r="Y78" s="249"/>
    </row>
    <row r="79" spans="2:26" ht="18" customHeight="1">
      <c r="B79" s="266">
        <f t="shared" si="1"/>
        <v>36</v>
      </c>
      <c r="C79" s="301" t="s">
        <v>218</v>
      </c>
      <c r="D79" s="251" t="s">
        <v>219</v>
      </c>
      <c r="E79" s="252" t="s">
        <v>185</v>
      </c>
      <c r="F79" s="251">
        <v>1800</v>
      </c>
      <c r="G79" s="303">
        <v>6.69</v>
      </c>
      <c r="H79" s="303">
        <v>9.7200000000000006</v>
      </c>
      <c r="I79" s="251"/>
      <c r="J79" s="272">
        <f t="shared" si="21"/>
        <v>16.41</v>
      </c>
      <c r="K79" s="272">
        <f t="shared" si="22"/>
        <v>29538</v>
      </c>
      <c r="L79" s="273"/>
      <c r="M79" s="274">
        <f t="shared" si="23"/>
        <v>0</v>
      </c>
      <c r="N79" s="275"/>
      <c r="O79" s="276">
        <f t="shared" si="24"/>
        <v>0</v>
      </c>
      <c r="P79" s="273">
        <f t="shared" si="25"/>
        <v>0</v>
      </c>
      <c r="Q79" s="276">
        <f t="shared" si="26"/>
        <v>0</v>
      </c>
      <c r="R79" s="277">
        <f t="shared" si="27"/>
        <v>0</v>
      </c>
      <c r="S79" s="276">
        <f t="shared" si="28"/>
        <v>1800</v>
      </c>
      <c r="T79" s="276">
        <f t="shared" si="29"/>
        <v>29538</v>
      </c>
      <c r="U79" s="276"/>
      <c r="V79" s="249"/>
      <c r="W79" s="278">
        <f t="shared" si="2"/>
        <v>0</v>
      </c>
      <c r="X79" s="279"/>
      <c r="Y79" s="249"/>
      <c r="Z79" s="265"/>
    </row>
    <row r="80" spans="2:26" ht="18" customHeight="1">
      <c r="B80" s="266">
        <f t="shared" si="1"/>
        <v>37</v>
      </c>
      <c r="C80" s="301" t="s">
        <v>220</v>
      </c>
      <c r="D80" s="251"/>
      <c r="E80" s="252" t="s">
        <v>185</v>
      </c>
      <c r="F80" s="251">
        <v>1800</v>
      </c>
      <c r="G80" s="303">
        <v>1.06</v>
      </c>
      <c r="H80" s="303">
        <v>4.63</v>
      </c>
      <c r="I80" s="251"/>
      <c r="J80" s="272">
        <f t="shared" si="21"/>
        <v>5.6899999999999995</v>
      </c>
      <c r="K80" s="272">
        <f t="shared" si="22"/>
        <v>10242</v>
      </c>
      <c r="L80" s="273"/>
      <c r="M80" s="274">
        <f t="shared" si="23"/>
        <v>0</v>
      </c>
      <c r="N80" s="275"/>
      <c r="O80" s="276">
        <f t="shared" si="24"/>
        <v>0</v>
      </c>
      <c r="P80" s="273">
        <f t="shared" si="25"/>
        <v>0</v>
      </c>
      <c r="Q80" s="276">
        <f t="shared" si="26"/>
        <v>0</v>
      </c>
      <c r="R80" s="277">
        <f t="shared" si="27"/>
        <v>0</v>
      </c>
      <c r="S80" s="276">
        <f t="shared" si="28"/>
        <v>1800</v>
      </c>
      <c r="T80" s="276">
        <f t="shared" si="29"/>
        <v>10242</v>
      </c>
      <c r="U80" s="276"/>
      <c r="V80" s="249"/>
      <c r="W80" s="278">
        <f t="shared" si="2"/>
        <v>0</v>
      </c>
      <c r="X80" s="279"/>
      <c r="Y80" s="249"/>
    </row>
    <row r="81" spans="2:26" ht="18" customHeight="1">
      <c r="B81" s="266">
        <f t="shared" si="1"/>
        <v>38</v>
      </c>
      <c r="C81" s="301" t="s">
        <v>221</v>
      </c>
      <c r="D81" s="251" t="s">
        <v>222</v>
      </c>
      <c r="E81" s="252" t="s">
        <v>185</v>
      </c>
      <c r="F81" s="251">
        <v>1800</v>
      </c>
      <c r="G81" s="303">
        <v>1.96</v>
      </c>
      <c r="H81" s="303">
        <v>4.6100000000000003</v>
      </c>
      <c r="I81" s="251"/>
      <c r="J81" s="272">
        <f t="shared" si="21"/>
        <v>6.57</v>
      </c>
      <c r="K81" s="272">
        <f t="shared" si="22"/>
        <v>11826</v>
      </c>
      <c r="L81" s="273"/>
      <c r="M81" s="274">
        <f t="shared" si="23"/>
        <v>0</v>
      </c>
      <c r="N81" s="275"/>
      <c r="O81" s="276">
        <f t="shared" si="24"/>
        <v>0</v>
      </c>
      <c r="P81" s="273">
        <f t="shared" si="25"/>
        <v>0</v>
      </c>
      <c r="Q81" s="276">
        <f t="shared" si="26"/>
        <v>0</v>
      </c>
      <c r="R81" s="277">
        <f t="shared" si="27"/>
        <v>0</v>
      </c>
      <c r="S81" s="276">
        <f t="shared" si="28"/>
        <v>1800</v>
      </c>
      <c r="T81" s="276">
        <f t="shared" si="29"/>
        <v>11826</v>
      </c>
      <c r="U81" s="276"/>
      <c r="V81" s="249"/>
      <c r="W81" s="278">
        <f t="shared" si="2"/>
        <v>0</v>
      </c>
      <c r="X81" s="279"/>
      <c r="Y81" s="249"/>
    </row>
    <row r="82" spans="2:26" ht="18" customHeight="1">
      <c r="B82" s="266">
        <f t="shared" si="1"/>
        <v>39</v>
      </c>
      <c r="C82" s="301" t="s">
        <v>223</v>
      </c>
      <c r="D82" s="251" t="s">
        <v>224</v>
      </c>
      <c r="E82" s="252" t="s">
        <v>185</v>
      </c>
      <c r="F82" s="251">
        <v>200</v>
      </c>
      <c r="G82" s="303">
        <v>3.57</v>
      </c>
      <c r="H82" s="303">
        <v>11.38</v>
      </c>
      <c r="I82" s="251"/>
      <c r="J82" s="272">
        <f t="shared" si="21"/>
        <v>14.950000000000001</v>
      </c>
      <c r="K82" s="272">
        <f t="shared" si="22"/>
        <v>2990</v>
      </c>
      <c r="L82" s="273"/>
      <c r="M82" s="274">
        <f t="shared" si="23"/>
        <v>0</v>
      </c>
      <c r="N82" s="275"/>
      <c r="O82" s="276">
        <f t="shared" si="24"/>
        <v>0</v>
      </c>
      <c r="P82" s="273">
        <f t="shared" si="25"/>
        <v>0</v>
      </c>
      <c r="Q82" s="276">
        <f t="shared" si="26"/>
        <v>0</v>
      </c>
      <c r="R82" s="277">
        <f t="shared" si="27"/>
        <v>0</v>
      </c>
      <c r="S82" s="276">
        <f t="shared" si="28"/>
        <v>200</v>
      </c>
      <c r="T82" s="276">
        <f t="shared" si="29"/>
        <v>2990</v>
      </c>
      <c r="U82" s="276"/>
      <c r="V82" s="249"/>
      <c r="W82" s="278">
        <f t="shared" si="2"/>
        <v>0</v>
      </c>
      <c r="X82" s="279"/>
      <c r="Y82" s="249"/>
      <c r="Z82" s="265"/>
    </row>
    <row r="83" spans="2:26" ht="18" customHeight="1">
      <c r="B83" s="266">
        <f t="shared" si="1"/>
        <v>40</v>
      </c>
      <c r="C83" s="301"/>
      <c r="D83" s="251"/>
      <c r="E83" s="252"/>
      <c r="F83" s="251"/>
      <c r="G83" s="303"/>
      <c r="H83" s="303"/>
      <c r="I83" s="251"/>
      <c r="J83" s="272"/>
      <c r="K83" s="272"/>
      <c r="L83" s="273"/>
      <c r="M83" s="274"/>
      <c r="N83" s="275"/>
      <c r="O83" s="276"/>
      <c r="P83" s="273"/>
      <c r="Q83" s="276"/>
      <c r="R83" s="277"/>
      <c r="S83" s="276"/>
      <c r="T83" s="276"/>
      <c r="U83" s="276"/>
      <c r="V83" s="249"/>
      <c r="W83" s="278">
        <f t="shared" si="2"/>
        <v>0</v>
      </c>
      <c r="X83" s="279"/>
      <c r="Y83" s="249"/>
    </row>
    <row r="84" spans="2:26" s="304" customFormat="1" ht="18" customHeight="1">
      <c r="B84" s="281">
        <f t="shared" si="1"/>
        <v>41</v>
      </c>
      <c r="C84" s="305" t="s">
        <v>171</v>
      </c>
      <c r="D84" s="306"/>
      <c r="E84" s="307"/>
      <c r="F84" s="306"/>
      <c r="G84" s="308"/>
      <c r="H84" s="308"/>
      <c r="I84" s="306"/>
      <c r="J84" s="287"/>
      <c r="K84" s="309">
        <f>SUM(K76:K83)</f>
        <v>67623.820000000007</v>
      </c>
      <c r="L84" s="288"/>
      <c r="M84" s="309">
        <f>SUM(M76:M83)</f>
        <v>0</v>
      </c>
      <c r="N84" s="288"/>
      <c r="O84" s="287">
        <f>Q84-M84</f>
        <v>1859.6</v>
      </c>
      <c r="P84" s="288"/>
      <c r="Q84" s="309">
        <f>SUM(Q76:Q83)</f>
        <v>1859.6</v>
      </c>
      <c r="R84" s="289">
        <f>IFERROR(+Q84/K84,0)</f>
        <v>2.7499185937736138E-2</v>
      </c>
      <c r="S84" s="290"/>
      <c r="T84" s="290">
        <f>SUM(T76:T83)</f>
        <v>65764.22</v>
      </c>
      <c r="U84" s="290"/>
      <c r="V84" s="249"/>
      <c r="W84" s="278">
        <f t="shared" si="2"/>
        <v>0</v>
      </c>
      <c r="X84" s="279"/>
      <c r="Y84" s="249"/>
      <c r="Z84" s="265"/>
    </row>
    <row r="85" spans="2:26" s="217" customFormat="1" ht="18" customHeight="1">
      <c r="B85" s="260">
        <f t="shared" si="1"/>
        <v>42</v>
      </c>
      <c r="C85" s="291" t="s">
        <v>225</v>
      </c>
      <c r="D85" s="310"/>
      <c r="E85" s="293"/>
      <c r="F85" s="310"/>
      <c r="G85" s="311"/>
      <c r="H85" s="311"/>
      <c r="I85" s="310"/>
      <c r="J85" s="295"/>
      <c r="K85" s="295"/>
      <c r="L85" s="299"/>
      <c r="M85" s="296"/>
      <c r="N85" s="297"/>
      <c r="O85" s="298"/>
      <c r="P85" s="299"/>
      <c r="Q85" s="298"/>
      <c r="R85" s="300"/>
      <c r="S85" s="298"/>
      <c r="T85" s="298"/>
      <c r="U85" s="298"/>
      <c r="V85" s="249"/>
      <c r="W85" s="278">
        <f t="shared" si="2"/>
        <v>0</v>
      </c>
      <c r="X85" s="279"/>
      <c r="Y85" s="249"/>
      <c r="Z85" s="174"/>
    </row>
    <row r="86" spans="2:26" ht="18" customHeight="1">
      <c r="B86" s="266">
        <f t="shared" si="1"/>
        <v>43</v>
      </c>
      <c r="C86" s="301" t="s">
        <v>226</v>
      </c>
      <c r="D86" s="251" t="s">
        <v>227</v>
      </c>
      <c r="E86" s="252" t="s">
        <v>185</v>
      </c>
      <c r="F86" s="251">
        <v>640</v>
      </c>
      <c r="G86" s="303">
        <v>3.74</v>
      </c>
      <c r="H86" s="303">
        <v>6.31</v>
      </c>
      <c r="I86" s="251"/>
      <c r="J86" s="272">
        <f>I86+H86+G86</f>
        <v>10.050000000000001</v>
      </c>
      <c r="K86" s="272">
        <f>J86*F86</f>
        <v>6432</v>
      </c>
      <c r="L86" s="273"/>
      <c r="M86" s="274">
        <f>L86*J86</f>
        <v>0</v>
      </c>
      <c r="N86" s="275"/>
      <c r="O86" s="276">
        <f>N86*J86</f>
        <v>0</v>
      </c>
      <c r="P86" s="273">
        <f>N86+L86</f>
        <v>0</v>
      </c>
      <c r="Q86" s="276">
        <f>P86*J86</f>
        <v>0</v>
      </c>
      <c r="R86" s="277">
        <f>IFERROR(Q86/K86,0)</f>
        <v>0</v>
      </c>
      <c r="S86" s="276">
        <f>F86-P86</f>
        <v>640</v>
      </c>
      <c r="T86" s="276">
        <f>K86-Q86</f>
        <v>6432</v>
      </c>
      <c r="U86" s="276"/>
      <c r="V86" s="249"/>
      <c r="W86" s="278">
        <f t="shared" si="2"/>
        <v>0</v>
      </c>
      <c r="X86" s="279"/>
      <c r="Y86" s="249"/>
    </row>
    <row r="87" spans="2:26" ht="18" customHeight="1">
      <c r="B87" s="266">
        <f t="shared" si="1"/>
        <v>44</v>
      </c>
      <c r="C87" s="301" t="s">
        <v>228</v>
      </c>
      <c r="D87" s="251" t="s">
        <v>229</v>
      </c>
      <c r="E87" s="252" t="s">
        <v>185</v>
      </c>
      <c r="F87" s="251">
        <v>1800</v>
      </c>
      <c r="G87" s="303">
        <v>8.48</v>
      </c>
      <c r="H87" s="303">
        <v>13.11</v>
      </c>
      <c r="I87" s="251"/>
      <c r="J87" s="272">
        <f>I87+H87+G87</f>
        <v>21.59</v>
      </c>
      <c r="K87" s="272">
        <f>J87*F87</f>
        <v>38862</v>
      </c>
      <c r="L87" s="273"/>
      <c r="M87" s="274">
        <f>L87*J87</f>
        <v>0</v>
      </c>
      <c r="N87" s="275"/>
      <c r="O87" s="276">
        <f>N87*J87</f>
        <v>0</v>
      </c>
      <c r="P87" s="273">
        <f>N87+L87</f>
        <v>0</v>
      </c>
      <c r="Q87" s="276">
        <f>P87*J87</f>
        <v>0</v>
      </c>
      <c r="R87" s="277">
        <f>IFERROR(Q87/K87,0)</f>
        <v>0</v>
      </c>
      <c r="S87" s="276">
        <f>F87-P87</f>
        <v>1800</v>
      </c>
      <c r="T87" s="276">
        <f>K87-Q87</f>
        <v>38862</v>
      </c>
      <c r="U87" s="276"/>
      <c r="V87" s="249"/>
      <c r="W87" s="278">
        <f t="shared" si="2"/>
        <v>0</v>
      </c>
      <c r="X87" s="279"/>
      <c r="Y87" s="249"/>
      <c r="Z87" s="265"/>
    </row>
    <row r="88" spans="2:26" ht="18" customHeight="1">
      <c r="B88" s="266">
        <f t="shared" si="1"/>
        <v>45</v>
      </c>
      <c r="C88" s="301"/>
      <c r="D88" s="251"/>
      <c r="E88" s="252"/>
      <c r="F88" s="251"/>
      <c r="G88" s="303"/>
      <c r="H88" s="303"/>
      <c r="I88" s="251"/>
      <c r="J88" s="272"/>
      <c r="K88" s="272"/>
      <c r="L88" s="273"/>
      <c r="M88" s="274"/>
      <c r="N88" s="275"/>
      <c r="O88" s="276"/>
      <c r="P88" s="273"/>
      <c r="Q88" s="276"/>
      <c r="R88" s="277"/>
      <c r="S88" s="276"/>
      <c r="T88" s="276"/>
      <c r="U88" s="276"/>
      <c r="V88" s="249"/>
      <c r="W88" s="278">
        <f t="shared" si="2"/>
        <v>0</v>
      </c>
      <c r="X88" s="279"/>
      <c r="Y88" s="249"/>
    </row>
    <row r="89" spans="2:26" s="304" customFormat="1" ht="18" customHeight="1">
      <c r="B89" s="281">
        <f t="shared" si="1"/>
        <v>46</v>
      </c>
      <c r="C89" s="305" t="s">
        <v>171</v>
      </c>
      <c r="D89" s="306"/>
      <c r="E89" s="307"/>
      <c r="F89" s="306"/>
      <c r="G89" s="308"/>
      <c r="H89" s="308"/>
      <c r="I89" s="306"/>
      <c r="J89" s="287"/>
      <c r="K89" s="309">
        <f>SUM(K86:K88)</f>
        <v>45294</v>
      </c>
      <c r="L89" s="288"/>
      <c r="M89" s="309">
        <f>SUM(M86:M88)</f>
        <v>0</v>
      </c>
      <c r="N89" s="288"/>
      <c r="O89" s="287">
        <f>Q89-M89</f>
        <v>0</v>
      </c>
      <c r="P89" s="288"/>
      <c r="Q89" s="309">
        <f>SUM(Q86:Q88)</f>
        <v>0</v>
      </c>
      <c r="R89" s="289">
        <f>IFERROR(+Q89/K89,0)</f>
        <v>0</v>
      </c>
      <c r="S89" s="290"/>
      <c r="T89" s="290">
        <f>SUM(T86:T88)</f>
        <v>45294</v>
      </c>
      <c r="U89" s="290"/>
      <c r="V89" s="249"/>
      <c r="W89" s="278">
        <f t="shared" si="2"/>
        <v>0</v>
      </c>
      <c r="X89" s="279"/>
      <c r="Y89" s="249"/>
      <c r="Z89" s="265"/>
    </row>
    <row r="90" spans="2:26" s="217" customFormat="1" ht="18" customHeight="1">
      <c r="B90" s="260">
        <f t="shared" si="1"/>
        <v>47</v>
      </c>
      <c r="C90" s="291" t="s">
        <v>230</v>
      </c>
      <c r="D90" s="310"/>
      <c r="E90" s="293"/>
      <c r="F90" s="310"/>
      <c r="G90" s="311"/>
      <c r="H90" s="311"/>
      <c r="I90" s="310"/>
      <c r="J90" s="295"/>
      <c r="K90" s="295"/>
      <c r="L90" s="299"/>
      <c r="M90" s="296"/>
      <c r="N90" s="297"/>
      <c r="O90" s="298"/>
      <c r="P90" s="299"/>
      <c r="Q90" s="298"/>
      <c r="R90" s="300"/>
      <c r="S90" s="298"/>
      <c r="T90" s="298"/>
      <c r="U90" s="298"/>
      <c r="V90" s="249"/>
      <c r="W90" s="278">
        <f t="shared" si="2"/>
        <v>0</v>
      </c>
      <c r="X90" s="279"/>
      <c r="Y90" s="249"/>
      <c r="Z90" s="174"/>
    </row>
    <row r="91" spans="2:26" ht="18" customHeight="1">
      <c r="B91" s="266">
        <f t="shared" si="1"/>
        <v>48</v>
      </c>
      <c r="C91" s="301" t="s">
        <v>231</v>
      </c>
      <c r="D91" s="251"/>
      <c r="E91" s="252" t="s">
        <v>175</v>
      </c>
      <c r="F91" s="251">
        <v>7</v>
      </c>
      <c r="G91" s="303">
        <v>0</v>
      </c>
      <c r="H91" s="303">
        <v>244.11</v>
      </c>
      <c r="I91" s="251"/>
      <c r="J91" s="272">
        <f t="shared" ref="J91:J101" si="30">I91+H91+G91</f>
        <v>244.11</v>
      </c>
      <c r="K91" s="272">
        <f t="shared" ref="K91:K101" si="31">J91*F91</f>
        <v>1708.77</v>
      </c>
      <c r="L91" s="273"/>
      <c r="M91" s="274">
        <f t="shared" ref="M91:M101" si="32">L91*J91</f>
        <v>0</v>
      </c>
      <c r="N91" s="275"/>
      <c r="O91" s="276">
        <f t="shared" ref="O91:O101" si="33">N91*J91</f>
        <v>0</v>
      </c>
      <c r="P91" s="273">
        <f t="shared" ref="P91:P101" si="34">N91+L91</f>
        <v>0</v>
      </c>
      <c r="Q91" s="276">
        <f t="shared" ref="Q91:Q101" si="35">P91*J91</f>
        <v>0</v>
      </c>
      <c r="R91" s="277">
        <f t="shared" ref="R91:R101" si="36">IFERROR(Q91/K91,0)</f>
        <v>0</v>
      </c>
      <c r="S91" s="276">
        <f t="shared" ref="S91:S101" si="37">F91-P91</f>
        <v>7</v>
      </c>
      <c r="T91" s="276">
        <f t="shared" ref="T91:T101" si="38">K91-Q91</f>
        <v>1708.77</v>
      </c>
      <c r="U91" s="276"/>
      <c r="V91" s="249"/>
      <c r="W91" s="278">
        <f t="shared" si="2"/>
        <v>0</v>
      </c>
      <c r="X91" s="279"/>
      <c r="Y91" s="249"/>
    </row>
    <row r="92" spans="2:26" ht="18" customHeight="1">
      <c r="B92" s="266">
        <f t="shared" si="1"/>
        <v>49</v>
      </c>
      <c r="C92" s="301" t="s">
        <v>232</v>
      </c>
      <c r="D92" s="251" t="s">
        <v>233</v>
      </c>
      <c r="E92" s="252" t="s">
        <v>234</v>
      </c>
      <c r="F92" s="251">
        <v>2</v>
      </c>
      <c r="G92" s="303">
        <v>22516.080000000002</v>
      </c>
      <c r="H92" s="303">
        <v>39297.339999999997</v>
      </c>
      <c r="I92" s="251"/>
      <c r="J92" s="272">
        <f t="shared" si="30"/>
        <v>61813.42</v>
      </c>
      <c r="K92" s="272">
        <f t="shared" si="31"/>
        <v>123626.84</v>
      </c>
      <c r="L92" s="273"/>
      <c r="M92" s="274">
        <f t="shared" si="32"/>
        <v>0</v>
      </c>
      <c r="N92" s="275">
        <v>0.6</v>
      </c>
      <c r="O92" s="276">
        <f t="shared" si="33"/>
        <v>37088.051999999996</v>
      </c>
      <c r="P92" s="273">
        <f t="shared" si="34"/>
        <v>0.6</v>
      </c>
      <c r="Q92" s="276">
        <f t="shared" si="35"/>
        <v>37088.051999999996</v>
      </c>
      <c r="R92" s="277">
        <f t="shared" si="36"/>
        <v>0.3</v>
      </c>
      <c r="S92" s="276">
        <f t="shared" si="37"/>
        <v>1.4</v>
      </c>
      <c r="T92" s="276">
        <f t="shared" si="38"/>
        <v>86538.788</v>
      </c>
      <c r="U92" s="276"/>
      <c r="V92" s="249"/>
      <c r="W92" s="278">
        <f t="shared" si="2"/>
        <v>0</v>
      </c>
      <c r="X92" s="279"/>
      <c r="Y92" s="249"/>
    </row>
    <row r="93" spans="2:26" ht="18" customHeight="1">
      <c r="B93" s="266">
        <f t="shared" si="1"/>
        <v>50</v>
      </c>
      <c r="C93" s="301" t="s">
        <v>235</v>
      </c>
      <c r="D93" s="251" t="s">
        <v>236</v>
      </c>
      <c r="E93" s="252" t="s">
        <v>217</v>
      </c>
      <c r="F93" s="251">
        <v>1</v>
      </c>
      <c r="G93" s="303">
        <v>2859.17</v>
      </c>
      <c r="H93" s="303">
        <v>13025.59</v>
      </c>
      <c r="I93" s="251"/>
      <c r="J93" s="272">
        <f t="shared" si="30"/>
        <v>15884.76</v>
      </c>
      <c r="K93" s="272">
        <f t="shared" si="31"/>
        <v>15884.76</v>
      </c>
      <c r="L93" s="273"/>
      <c r="M93" s="274">
        <f t="shared" si="32"/>
        <v>0</v>
      </c>
      <c r="N93" s="275">
        <v>1</v>
      </c>
      <c r="O93" s="276">
        <f t="shared" si="33"/>
        <v>15884.76</v>
      </c>
      <c r="P93" s="273">
        <f t="shared" si="34"/>
        <v>1</v>
      </c>
      <c r="Q93" s="276">
        <f t="shared" si="35"/>
        <v>15884.76</v>
      </c>
      <c r="R93" s="277">
        <f t="shared" si="36"/>
        <v>1</v>
      </c>
      <c r="S93" s="276">
        <f t="shared" si="37"/>
        <v>0</v>
      </c>
      <c r="T93" s="276">
        <f t="shared" si="38"/>
        <v>0</v>
      </c>
      <c r="U93" s="276"/>
      <c r="V93" s="249"/>
      <c r="W93" s="278">
        <f t="shared" si="2"/>
        <v>0</v>
      </c>
      <c r="X93" s="279"/>
      <c r="Y93" s="249"/>
    </row>
    <row r="94" spans="2:26" ht="18" customHeight="1">
      <c r="B94" s="266">
        <f t="shared" si="1"/>
        <v>51</v>
      </c>
      <c r="C94" s="301" t="s">
        <v>237</v>
      </c>
      <c r="D94" s="251" t="s">
        <v>238</v>
      </c>
      <c r="E94" s="252" t="s">
        <v>185</v>
      </c>
      <c r="F94" s="251">
        <v>100</v>
      </c>
      <c r="G94" s="303">
        <v>0.43</v>
      </c>
      <c r="H94" s="303">
        <v>10.16</v>
      </c>
      <c r="I94" s="251"/>
      <c r="J94" s="272">
        <f t="shared" si="30"/>
        <v>10.59</v>
      </c>
      <c r="K94" s="272">
        <f t="shared" si="31"/>
        <v>1059</v>
      </c>
      <c r="L94" s="273"/>
      <c r="M94" s="274">
        <f t="shared" si="32"/>
        <v>0</v>
      </c>
      <c r="N94" s="275"/>
      <c r="O94" s="276">
        <f t="shared" si="33"/>
        <v>0</v>
      </c>
      <c r="P94" s="273">
        <f t="shared" si="34"/>
        <v>0</v>
      </c>
      <c r="Q94" s="276">
        <f t="shared" si="35"/>
        <v>0</v>
      </c>
      <c r="R94" s="277">
        <f t="shared" si="36"/>
        <v>0</v>
      </c>
      <c r="S94" s="276">
        <f t="shared" si="37"/>
        <v>100</v>
      </c>
      <c r="T94" s="276">
        <f t="shared" si="38"/>
        <v>1059</v>
      </c>
      <c r="U94" s="276"/>
      <c r="V94" s="249"/>
      <c r="W94" s="278">
        <f t="shared" si="2"/>
        <v>0</v>
      </c>
      <c r="X94" s="279"/>
      <c r="Y94" s="249"/>
    </row>
    <row r="95" spans="2:26" ht="18" customHeight="1">
      <c r="B95" s="266">
        <f t="shared" si="1"/>
        <v>52</v>
      </c>
      <c r="C95" s="301" t="s">
        <v>239</v>
      </c>
      <c r="D95" s="251" t="s">
        <v>240</v>
      </c>
      <c r="E95" s="252" t="s">
        <v>185</v>
      </c>
      <c r="F95" s="251">
        <v>300</v>
      </c>
      <c r="G95" s="303">
        <v>3.12</v>
      </c>
      <c r="H95" s="303">
        <v>8.5</v>
      </c>
      <c r="I95" s="251"/>
      <c r="J95" s="272">
        <f t="shared" si="30"/>
        <v>11.620000000000001</v>
      </c>
      <c r="K95" s="272">
        <f t="shared" si="31"/>
        <v>3486.0000000000005</v>
      </c>
      <c r="L95" s="273"/>
      <c r="M95" s="274">
        <f t="shared" si="32"/>
        <v>0</v>
      </c>
      <c r="N95" s="275"/>
      <c r="O95" s="276">
        <f t="shared" si="33"/>
        <v>0</v>
      </c>
      <c r="P95" s="273">
        <f t="shared" si="34"/>
        <v>0</v>
      </c>
      <c r="Q95" s="276">
        <f t="shared" si="35"/>
        <v>0</v>
      </c>
      <c r="R95" s="277">
        <f t="shared" si="36"/>
        <v>0</v>
      </c>
      <c r="S95" s="276">
        <f t="shared" si="37"/>
        <v>300</v>
      </c>
      <c r="T95" s="276">
        <f t="shared" si="38"/>
        <v>3486.0000000000005</v>
      </c>
      <c r="U95" s="276"/>
      <c r="V95" s="249"/>
      <c r="W95" s="278">
        <f t="shared" si="2"/>
        <v>0</v>
      </c>
      <c r="X95" s="279"/>
      <c r="Y95" s="249"/>
    </row>
    <row r="96" spans="2:26" ht="18" customHeight="1">
      <c r="B96" s="266">
        <f t="shared" si="1"/>
        <v>53</v>
      </c>
      <c r="C96" s="301" t="s">
        <v>241</v>
      </c>
      <c r="D96" s="251" t="s">
        <v>242</v>
      </c>
      <c r="E96" s="252" t="s">
        <v>217</v>
      </c>
      <c r="F96" s="251">
        <v>1</v>
      </c>
      <c r="G96" s="303">
        <v>3395.28</v>
      </c>
      <c r="H96" s="303">
        <v>7366.35</v>
      </c>
      <c r="I96" s="251"/>
      <c r="J96" s="272">
        <f t="shared" si="30"/>
        <v>10761.630000000001</v>
      </c>
      <c r="K96" s="272">
        <f t="shared" si="31"/>
        <v>10761.630000000001</v>
      </c>
      <c r="L96" s="273"/>
      <c r="M96" s="274">
        <f t="shared" si="32"/>
        <v>0</v>
      </c>
      <c r="N96" s="275"/>
      <c r="O96" s="276">
        <f t="shared" si="33"/>
        <v>0</v>
      </c>
      <c r="P96" s="273">
        <f t="shared" si="34"/>
        <v>0</v>
      </c>
      <c r="Q96" s="276">
        <f t="shared" si="35"/>
        <v>0</v>
      </c>
      <c r="R96" s="277">
        <f t="shared" si="36"/>
        <v>0</v>
      </c>
      <c r="S96" s="276">
        <f t="shared" si="37"/>
        <v>1</v>
      </c>
      <c r="T96" s="276">
        <f t="shared" si="38"/>
        <v>10761.630000000001</v>
      </c>
      <c r="U96" s="276"/>
      <c r="V96" s="249"/>
      <c r="W96" s="278">
        <f t="shared" si="2"/>
        <v>0</v>
      </c>
      <c r="X96" s="279"/>
      <c r="Y96" s="249"/>
    </row>
    <row r="97" spans="2:26" ht="18" customHeight="1">
      <c r="B97" s="266">
        <f t="shared" si="1"/>
        <v>54</v>
      </c>
      <c r="C97" s="301" t="s">
        <v>243</v>
      </c>
      <c r="D97" s="251" t="s">
        <v>244</v>
      </c>
      <c r="E97" s="252" t="s">
        <v>175</v>
      </c>
      <c r="F97" s="251">
        <v>1</v>
      </c>
      <c r="G97" s="303">
        <v>8488.19</v>
      </c>
      <c r="H97" s="303">
        <v>11710.61</v>
      </c>
      <c r="I97" s="251"/>
      <c r="J97" s="272">
        <f t="shared" si="30"/>
        <v>20198.800000000003</v>
      </c>
      <c r="K97" s="272">
        <f t="shared" si="31"/>
        <v>20198.800000000003</v>
      </c>
      <c r="L97" s="273"/>
      <c r="M97" s="274">
        <f t="shared" si="32"/>
        <v>0</v>
      </c>
      <c r="N97" s="275"/>
      <c r="O97" s="276">
        <f t="shared" si="33"/>
        <v>0</v>
      </c>
      <c r="P97" s="273">
        <f t="shared" si="34"/>
        <v>0</v>
      </c>
      <c r="Q97" s="276">
        <f t="shared" si="35"/>
        <v>0</v>
      </c>
      <c r="R97" s="277">
        <f t="shared" si="36"/>
        <v>0</v>
      </c>
      <c r="S97" s="276">
        <f t="shared" si="37"/>
        <v>1</v>
      </c>
      <c r="T97" s="276">
        <f t="shared" si="38"/>
        <v>20198.800000000003</v>
      </c>
      <c r="U97" s="276"/>
      <c r="V97" s="249"/>
      <c r="W97" s="278">
        <f t="shared" si="2"/>
        <v>0</v>
      </c>
      <c r="X97" s="279"/>
      <c r="Y97" s="249"/>
    </row>
    <row r="98" spans="2:26" ht="18" customHeight="1">
      <c r="B98" s="266">
        <f t="shared" si="1"/>
        <v>55</v>
      </c>
      <c r="C98" s="301" t="s">
        <v>245</v>
      </c>
      <c r="D98" s="251" t="s">
        <v>246</v>
      </c>
      <c r="E98" s="252" t="s">
        <v>185</v>
      </c>
      <c r="F98" s="251">
        <v>55</v>
      </c>
      <c r="G98" s="303">
        <v>25.01</v>
      </c>
      <c r="H98" s="303">
        <v>21.66</v>
      </c>
      <c r="I98" s="251"/>
      <c r="J98" s="272">
        <f t="shared" si="30"/>
        <v>46.67</v>
      </c>
      <c r="K98" s="272">
        <f t="shared" si="31"/>
        <v>2566.85</v>
      </c>
      <c r="L98" s="273"/>
      <c r="M98" s="274">
        <f t="shared" si="32"/>
        <v>0</v>
      </c>
      <c r="N98" s="275"/>
      <c r="O98" s="276">
        <f t="shared" si="33"/>
        <v>0</v>
      </c>
      <c r="P98" s="273">
        <f t="shared" si="34"/>
        <v>0</v>
      </c>
      <c r="Q98" s="276">
        <f t="shared" si="35"/>
        <v>0</v>
      </c>
      <c r="R98" s="277">
        <f t="shared" si="36"/>
        <v>0</v>
      </c>
      <c r="S98" s="276">
        <f t="shared" si="37"/>
        <v>55</v>
      </c>
      <c r="T98" s="276">
        <f t="shared" si="38"/>
        <v>2566.85</v>
      </c>
      <c r="U98" s="276"/>
      <c r="V98" s="249"/>
      <c r="W98" s="278">
        <f t="shared" si="2"/>
        <v>0</v>
      </c>
      <c r="X98" s="279"/>
      <c r="Y98" s="249"/>
    </row>
    <row r="99" spans="2:26" ht="18" customHeight="1">
      <c r="B99" s="266">
        <f t="shared" si="1"/>
        <v>56</v>
      </c>
      <c r="C99" s="301" t="s">
        <v>247</v>
      </c>
      <c r="D99" s="251" t="s">
        <v>248</v>
      </c>
      <c r="E99" s="252" t="s">
        <v>166</v>
      </c>
      <c r="F99" s="251">
        <v>11</v>
      </c>
      <c r="G99" s="303">
        <v>196.54</v>
      </c>
      <c r="H99" s="303">
        <v>496.8</v>
      </c>
      <c r="I99" s="251"/>
      <c r="J99" s="272">
        <f t="shared" si="30"/>
        <v>693.34</v>
      </c>
      <c r="K99" s="272">
        <f t="shared" si="31"/>
        <v>7626.7400000000007</v>
      </c>
      <c r="L99" s="273"/>
      <c r="M99" s="274">
        <f t="shared" si="32"/>
        <v>0</v>
      </c>
      <c r="N99" s="275"/>
      <c r="O99" s="276">
        <f t="shared" si="33"/>
        <v>0</v>
      </c>
      <c r="P99" s="273">
        <f t="shared" si="34"/>
        <v>0</v>
      </c>
      <c r="Q99" s="276">
        <f t="shared" si="35"/>
        <v>0</v>
      </c>
      <c r="R99" s="277">
        <f t="shared" si="36"/>
        <v>0</v>
      </c>
      <c r="S99" s="276">
        <f t="shared" si="37"/>
        <v>11</v>
      </c>
      <c r="T99" s="276">
        <f t="shared" si="38"/>
        <v>7626.7400000000007</v>
      </c>
      <c r="U99" s="276"/>
      <c r="V99" s="249"/>
      <c r="W99" s="278">
        <f t="shared" si="2"/>
        <v>0</v>
      </c>
      <c r="X99" s="279"/>
      <c r="Y99" s="249"/>
    </row>
    <row r="100" spans="2:26" ht="18" customHeight="1">
      <c r="B100" s="266">
        <f t="shared" si="1"/>
        <v>57</v>
      </c>
      <c r="C100" s="301" t="s">
        <v>249</v>
      </c>
      <c r="D100" s="251" t="s">
        <v>250</v>
      </c>
      <c r="E100" s="252" t="s">
        <v>166</v>
      </c>
      <c r="F100" s="251">
        <v>5</v>
      </c>
      <c r="G100" s="303">
        <v>134.02000000000001</v>
      </c>
      <c r="H100" s="303">
        <v>388.45</v>
      </c>
      <c r="I100" s="251"/>
      <c r="J100" s="272">
        <f t="shared" si="30"/>
        <v>522.47</v>
      </c>
      <c r="K100" s="272">
        <f t="shared" si="31"/>
        <v>2612.3500000000004</v>
      </c>
      <c r="L100" s="273"/>
      <c r="M100" s="274">
        <f t="shared" si="32"/>
        <v>0</v>
      </c>
      <c r="N100" s="275"/>
      <c r="O100" s="276">
        <f t="shared" si="33"/>
        <v>0</v>
      </c>
      <c r="P100" s="273">
        <f t="shared" si="34"/>
        <v>0</v>
      </c>
      <c r="Q100" s="276">
        <f t="shared" si="35"/>
        <v>0</v>
      </c>
      <c r="R100" s="277">
        <f t="shared" si="36"/>
        <v>0</v>
      </c>
      <c r="S100" s="276">
        <f t="shared" si="37"/>
        <v>5</v>
      </c>
      <c r="T100" s="276">
        <f t="shared" si="38"/>
        <v>2612.3500000000004</v>
      </c>
      <c r="U100" s="276"/>
      <c r="V100" s="249"/>
      <c r="W100" s="278">
        <f t="shared" si="2"/>
        <v>0</v>
      </c>
      <c r="X100" s="279"/>
      <c r="Y100" s="249"/>
    </row>
    <row r="101" spans="2:26" ht="18" customHeight="1">
      <c r="B101" s="266">
        <f t="shared" si="1"/>
        <v>58</v>
      </c>
      <c r="C101" s="301" t="s">
        <v>251</v>
      </c>
      <c r="D101" s="251" t="s">
        <v>252</v>
      </c>
      <c r="E101" s="252" t="s">
        <v>166</v>
      </c>
      <c r="F101" s="251">
        <v>7</v>
      </c>
      <c r="G101" s="303">
        <v>147.41999999999999</v>
      </c>
      <c r="H101" s="303">
        <v>403.78</v>
      </c>
      <c r="I101" s="251"/>
      <c r="J101" s="272">
        <f t="shared" si="30"/>
        <v>551.19999999999993</v>
      </c>
      <c r="K101" s="272">
        <f t="shared" si="31"/>
        <v>3858.3999999999996</v>
      </c>
      <c r="L101" s="273"/>
      <c r="M101" s="274">
        <f t="shared" si="32"/>
        <v>0</v>
      </c>
      <c r="N101" s="275"/>
      <c r="O101" s="276">
        <f t="shared" si="33"/>
        <v>0</v>
      </c>
      <c r="P101" s="273">
        <f t="shared" si="34"/>
        <v>0</v>
      </c>
      <c r="Q101" s="276">
        <f t="shared" si="35"/>
        <v>0</v>
      </c>
      <c r="R101" s="277">
        <f t="shared" si="36"/>
        <v>0</v>
      </c>
      <c r="S101" s="276">
        <f t="shared" si="37"/>
        <v>7</v>
      </c>
      <c r="T101" s="276">
        <f t="shared" si="38"/>
        <v>3858.3999999999996</v>
      </c>
      <c r="U101" s="276"/>
      <c r="V101" s="249"/>
      <c r="W101" s="278">
        <f t="shared" si="2"/>
        <v>0</v>
      </c>
      <c r="X101" s="279"/>
      <c r="Y101" s="249"/>
    </row>
    <row r="102" spans="2:26" ht="18" customHeight="1">
      <c r="B102" s="266">
        <f t="shared" si="1"/>
        <v>59</v>
      </c>
      <c r="C102" s="301"/>
      <c r="D102" s="251"/>
      <c r="E102" s="252"/>
      <c r="F102" s="251"/>
      <c r="G102" s="303"/>
      <c r="H102" s="303"/>
      <c r="I102" s="251"/>
      <c r="J102" s="272"/>
      <c r="K102" s="272"/>
      <c r="L102" s="273"/>
      <c r="M102" s="274"/>
      <c r="N102" s="275"/>
      <c r="O102" s="276"/>
      <c r="P102" s="273"/>
      <c r="Q102" s="276"/>
      <c r="R102" s="277"/>
      <c r="S102" s="276"/>
      <c r="T102" s="276"/>
      <c r="U102" s="276"/>
      <c r="V102" s="249"/>
      <c r="W102" s="278">
        <f t="shared" si="2"/>
        <v>0</v>
      </c>
      <c r="X102" s="279"/>
      <c r="Y102" s="249"/>
    </row>
    <row r="103" spans="2:26" s="304" customFormat="1" ht="18" customHeight="1">
      <c r="B103" s="281">
        <f t="shared" si="1"/>
        <v>60</v>
      </c>
      <c r="C103" s="305" t="s">
        <v>171</v>
      </c>
      <c r="D103" s="306"/>
      <c r="E103" s="307"/>
      <c r="F103" s="306"/>
      <c r="G103" s="308"/>
      <c r="H103" s="308"/>
      <c r="I103" s="306"/>
      <c r="J103" s="287"/>
      <c r="K103" s="309">
        <f>SUM(K91:K102)</f>
        <v>193390.13999999998</v>
      </c>
      <c r="L103" s="288"/>
      <c r="M103" s="309">
        <f>SUM(M98:M102)</f>
        <v>0</v>
      </c>
      <c r="N103" s="288"/>
      <c r="O103" s="287">
        <f>Q103-M103</f>
        <v>52972.811999999998</v>
      </c>
      <c r="P103" s="288"/>
      <c r="Q103" s="309">
        <f>SUM(Q91:Q102)</f>
        <v>52972.811999999998</v>
      </c>
      <c r="R103" s="289">
        <f>IFERROR(+Q103/K103,0)</f>
        <v>0.27391681913048926</v>
      </c>
      <c r="S103" s="290"/>
      <c r="T103" s="290">
        <f>SUM(T98:T102)</f>
        <v>16664.34</v>
      </c>
      <c r="U103" s="290"/>
      <c r="V103" s="249"/>
      <c r="W103" s="278">
        <f t="shared" si="2"/>
        <v>0</v>
      </c>
      <c r="X103" s="279"/>
      <c r="Y103" s="249"/>
      <c r="Z103" s="174"/>
    </row>
    <row r="104" spans="2:26" s="217" customFormat="1" ht="18" customHeight="1">
      <c r="B104" s="260">
        <f t="shared" si="1"/>
        <v>61</v>
      </c>
      <c r="C104" s="291" t="s">
        <v>253</v>
      </c>
      <c r="D104" s="310"/>
      <c r="E104" s="293"/>
      <c r="F104" s="310"/>
      <c r="G104" s="311"/>
      <c r="H104" s="311"/>
      <c r="I104" s="310"/>
      <c r="J104" s="295"/>
      <c r="K104" s="295"/>
      <c r="L104" s="299"/>
      <c r="M104" s="296"/>
      <c r="N104" s="297"/>
      <c r="O104" s="298"/>
      <c r="P104" s="299"/>
      <c r="Q104" s="298"/>
      <c r="R104" s="300"/>
      <c r="S104" s="298"/>
      <c r="T104" s="298"/>
      <c r="U104" s="298"/>
      <c r="V104" s="249"/>
      <c r="W104" s="278">
        <f t="shared" si="2"/>
        <v>0</v>
      </c>
      <c r="X104" s="279"/>
      <c r="Y104" s="249"/>
      <c r="Z104" s="174"/>
    </row>
    <row r="105" spans="2:26" ht="18" customHeight="1">
      <c r="B105" s="266">
        <f t="shared" si="1"/>
        <v>62</v>
      </c>
      <c r="C105" s="301" t="s">
        <v>254</v>
      </c>
      <c r="D105" s="251" t="s">
        <v>255</v>
      </c>
      <c r="E105" s="252" t="s">
        <v>185</v>
      </c>
      <c r="F105" s="251">
        <v>597</v>
      </c>
      <c r="G105" s="303">
        <v>4</v>
      </c>
      <c r="H105" s="303">
        <v>9.31</v>
      </c>
      <c r="I105" s="251"/>
      <c r="J105" s="272">
        <f t="shared" ref="J105:J119" si="39">I105+H105+G105</f>
        <v>13.31</v>
      </c>
      <c r="K105" s="272">
        <f t="shared" ref="K105:K119" si="40">J105*F105</f>
        <v>7946.0700000000006</v>
      </c>
      <c r="L105" s="273"/>
      <c r="M105" s="274">
        <f t="shared" ref="M105:M119" si="41">L105*J105</f>
        <v>0</v>
      </c>
      <c r="N105" s="275"/>
      <c r="O105" s="276">
        <f t="shared" ref="O105:O119" si="42">N105*J105</f>
        <v>0</v>
      </c>
      <c r="P105" s="273">
        <f t="shared" ref="P105:P119" si="43">N105+L105</f>
        <v>0</v>
      </c>
      <c r="Q105" s="276">
        <f t="shared" ref="Q105:Q119" si="44">P105*J105</f>
        <v>0</v>
      </c>
      <c r="R105" s="277">
        <f t="shared" ref="R105:R119" si="45">IFERROR(Q105/K105,0)</f>
        <v>0</v>
      </c>
      <c r="S105" s="276">
        <f t="shared" ref="S105:S119" si="46">F105-P105</f>
        <v>597</v>
      </c>
      <c r="T105" s="276">
        <f t="shared" ref="T105:T119" si="47">K105-Q105</f>
        <v>7946.0700000000006</v>
      </c>
      <c r="U105" s="276"/>
      <c r="V105" s="249"/>
      <c r="W105" s="278">
        <f t="shared" si="2"/>
        <v>0</v>
      </c>
      <c r="X105" s="279"/>
      <c r="Y105" s="249"/>
    </row>
    <row r="106" spans="2:26" ht="18" customHeight="1">
      <c r="B106" s="266">
        <f t="shared" si="1"/>
        <v>63</v>
      </c>
      <c r="C106" s="301" t="s">
        <v>256</v>
      </c>
      <c r="D106" s="251" t="s">
        <v>257</v>
      </c>
      <c r="E106" s="252" t="s">
        <v>175</v>
      </c>
      <c r="F106" s="251">
        <v>3</v>
      </c>
      <c r="G106" s="303">
        <v>848.81</v>
      </c>
      <c r="H106" s="303">
        <v>618.20000000000005</v>
      </c>
      <c r="I106" s="251"/>
      <c r="J106" s="272">
        <f t="shared" si="39"/>
        <v>1467.01</v>
      </c>
      <c r="K106" s="272">
        <f t="shared" si="40"/>
        <v>4401.03</v>
      </c>
      <c r="L106" s="273"/>
      <c r="M106" s="274">
        <f t="shared" si="41"/>
        <v>0</v>
      </c>
      <c r="N106" s="275"/>
      <c r="O106" s="276">
        <f t="shared" si="42"/>
        <v>0</v>
      </c>
      <c r="P106" s="273">
        <f t="shared" si="43"/>
        <v>0</v>
      </c>
      <c r="Q106" s="276">
        <f t="shared" si="44"/>
        <v>0</v>
      </c>
      <c r="R106" s="277">
        <f t="shared" si="45"/>
        <v>0</v>
      </c>
      <c r="S106" s="276">
        <f t="shared" si="46"/>
        <v>3</v>
      </c>
      <c r="T106" s="276">
        <f t="shared" si="47"/>
        <v>4401.03</v>
      </c>
      <c r="U106" s="276"/>
      <c r="V106" s="249"/>
      <c r="W106" s="278">
        <f t="shared" si="2"/>
        <v>0</v>
      </c>
      <c r="X106" s="279"/>
      <c r="Y106" s="249"/>
    </row>
    <row r="107" spans="2:26" ht="18" customHeight="1">
      <c r="B107" s="266">
        <f t="shared" si="1"/>
        <v>64</v>
      </c>
      <c r="C107" s="301" t="s">
        <v>258</v>
      </c>
      <c r="D107" s="251" t="s">
        <v>259</v>
      </c>
      <c r="E107" s="252" t="s">
        <v>185</v>
      </c>
      <c r="F107" s="251">
        <v>38</v>
      </c>
      <c r="G107" s="303">
        <v>19.649999999999999</v>
      </c>
      <c r="H107" s="303">
        <v>21.66</v>
      </c>
      <c r="I107" s="251"/>
      <c r="J107" s="272">
        <f t="shared" si="39"/>
        <v>41.31</v>
      </c>
      <c r="K107" s="272">
        <f t="shared" si="40"/>
        <v>1569.7800000000002</v>
      </c>
      <c r="L107" s="273"/>
      <c r="M107" s="274">
        <f t="shared" si="41"/>
        <v>0</v>
      </c>
      <c r="N107" s="275"/>
      <c r="O107" s="276">
        <f t="shared" si="42"/>
        <v>0</v>
      </c>
      <c r="P107" s="273">
        <f t="shared" si="43"/>
        <v>0</v>
      </c>
      <c r="Q107" s="276">
        <f t="shared" si="44"/>
        <v>0</v>
      </c>
      <c r="R107" s="277">
        <f t="shared" si="45"/>
        <v>0</v>
      </c>
      <c r="S107" s="276">
        <f t="shared" si="46"/>
        <v>38</v>
      </c>
      <c r="T107" s="276">
        <f t="shared" si="47"/>
        <v>1569.7800000000002</v>
      </c>
      <c r="U107" s="276"/>
      <c r="V107" s="249"/>
      <c r="W107" s="278">
        <f t="shared" si="2"/>
        <v>0</v>
      </c>
      <c r="X107" s="279"/>
      <c r="Y107" s="249"/>
    </row>
    <row r="108" spans="2:26" ht="18" customHeight="1">
      <c r="B108" s="266">
        <f t="shared" ref="B108:B171" si="48">B107+1</f>
        <v>65</v>
      </c>
      <c r="C108" s="301" t="s">
        <v>260</v>
      </c>
      <c r="D108" s="251" t="s">
        <v>261</v>
      </c>
      <c r="E108" s="252" t="s">
        <v>175</v>
      </c>
      <c r="F108" s="251">
        <v>4</v>
      </c>
      <c r="G108" s="303">
        <v>84.88</v>
      </c>
      <c r="H108" s="303">
        <v>112.68</v>
      </c>
      <c r="I108" s="251"/>
      <c r="J108" s="272">
        <f t="shared" si="39"/>
        <v>197.56</v>
      </c>
      <c r="K108" s="272">
        <f t="shared" si="40"/>
        <v>790.24</v>
      </c>
      <c r="L108" s="273"/>
      <c r="M108" s="274">
        <f t="shared" si="41"/>
        <v>0</v>
      </c>
      <c r="N108" s="275"/>
      <c r="O108" s="276">
        <f t="shared" si="42"/>
        <v>0</v>
      </c>
      <c r="P108" s="273">
        <f t="shared" si="43"/>
        <v>0</v>
      </c>
      <c r="Q108" s="276">
        <f t="shared" si="44"/>
        <v>0</v>
      </c>
      <c r="R108" s="277">
        <f t="shared" si="45"/>
        <v>0</v>
      </c>
      <c r="S108" s="276">
        <f t="shared" si="46"/>
        <v>4</v>
      </c>
      <c r="T108" s="276">
        <f t="shared" si="47"/>
        <v>790.24</v>
      </c>
      <c r="U108" s="276"/>
      <c r="V108" s="249"/>
      <c r="W108" s="278">
        <f t="shared" si="2"/>
        <v>0</v>
      </c>
      <c r="X108" s="279"/>
      <c r="Y108" s="249"/>
    </row>
    <row r="109" spans="2:26" ht="18" customHeight="1">
      <c r="B109" s="266">
        <f t="shared" si="48"/>
        <v>66</v>
      </c>
      <c r="C109" s="301" t="s">
        <v>262</v>
      </c>
      <c r="D109" s="251" t="s">
        <v>261</v>
      </c>
      <c r="E109" s="252" t="s">
        <v>175</v>
      </c>
      <c r="F109" s="251">
        <v>1</v>
      </c>
      <c r="G109" s="303">
        <v>696.92</v>
      </c>
      <c r="H109" s="303">
        <v>725.41</v>
      </c>
      <c r="I109" s="251"/>
      <c r="J109" s="272">
        <f t="shared" si="39"/>
        <v>1422.33</v>
      </c>
      <c r="K109" s="272">
        <f t="shared" si="40"/>
        <v>1422.33</v>
      </c>
      <c r="L109" s="273"/>
      <c r="M109" s="274">
        <f t="shared" si="41"/>
        <v>0</v>
      </c>
      <c r="N109" s="275"/>
      <c r="O109" s="276">
        <f t="shared" si="42"/>
        <v>0</v>
      </c>
      <c r="P109" s="273">
        <f t="shared" si="43"/>
        <v>0</v>
      </c>
      <c r="Q109" s="276">
        <f t="shared" si="44"/>
        <v>0</v>
      </c>
      <c r="R109" s="277">
        <f t="shared" si="45"/>
        <v>0</v>
      </c>
      <c r="S109" s="276">
        <f t="shared" si="46"/>
        <v>1</v>
      </c>
      <c r="T109" s="276">
        <f t="shared" si="47"/>
        <v>1422.33</v>
      </c>
      <c r="U109" s="276"/>
      <c r="V109" s="249"/>
      <c r="W109" s="278">
        <f t="shared" si="2"/>
        <v>0</v>
      </c>
      <c r="X109" s="279"/>
      <c r="Y109" s="249"/>
    </row>
    <row r="110" spans="2:26" ht="18" customHeight="1">
      <c r="B110" s="266">
        <f t="shared" si="48"/>
        <v>67</v>
      </c>
      <c r="C110" s="301" t="s">
        <v>263</v>
      </c>
      <c r="D110" s="251" t="s">
        <v>261</v>
      </c>
      <c r="E110" s="252" t="s">
        <v>175</v>
      </c>
      <c r="F110" s="251">
        <v>1</v>
      </c>
      <c r="G110" s="303">
        <v>285.91000000000003</v>
      </c>
      <c r="H110" s="303">
        <v>308.52</v>
      </c>
      <c r="I110" s="251"/>
      <c r="J110" s="272">
        <f t="shared" si="39"/>
        <v>594.43000000000006</v>
      </c>
      <c r="K110" s="272">
        <f t="shared" si="40"/>
        <v>594.43000000000006</v>
      </c>
      <c r="L110" s="273"/>
      <c r="M110" s="274">
        <f t="shared" si="41"/>
        <v>0</v>
      </c>
      <c r="N110" s="275"/>
      <c r="O110" s="276">
        <f t="shared" si="42"/>
        <v>0</v>
      </c>
      <c r="P110" s="273">
        <f t="shared" si="43"/>
        <v>0</v>
      </c>
      <c r="Q110" s="276">
        <f t="shared" si="44"/>
        <v>0</v>
      </c>
      <c r="R110" s="277">
        <f t="shared" si="45"/>
        <v>0</v>
      </c>
      <c r="S110" s="276">
        <f t="shared" si="46"/>
        <v>1</v>
      </c>
      <c r="T110" s="276">
        <f t="shared" si="47"/>
        <v>594.43000000000006</v>
      </c>
      <c r="U110" s="276"/>
      <c r="V110" s="249"/>
      <c r="W110" s="278">
        <f t="shared" si="2"/>
        <v>0</v>
      </c>
      <c r="X110" s="279"/>
      <c r="Y110" s="249"/>
    </row>
    <row r="111" spans="2:26" ht="18" customHeight="1">
      <c r="B111" s="266">
        <f t="shared" si="48"/>
        <v>68</v>
      </c>
      <c r="C111" s="301" t="s">
        <v>264</v>
      </c>
      <c r="D111" s="251" t="s">
        <v>265</v>
      </c>
      <c r="E111" s="252" t="s">
        <v>166</v>
      </c>
      <c r="F111" s="251">
        <v>10</v>
      </c>
      <c r="G111" s="303">
        <v>187.62</v>
      </c>
      <c r="H111" s="303">
        <v>231.95</v>
      </c>
      <c r="I111" s="251"/>
      <c r="J111" s="272">
        <f t="shared" si="39"/>
        <v>419.57</v>
      </c>
      <c r="K111" s="272">
        <f t="shared" si="40"/>
        <v>4195.7</v>
      </c>
      <c r="L111" s="273"/>
      <c r="M111" s="274">
        <f t="shared" si="41"/>
        <v>0</v>
      </c>
      <c r="N111" s="275"/>
      <c r="O111" s="276">
        <f t="shared" si="42"/>
        <v>0</v>
      </c>
      <c r="P111" s="273">
        <f t="shared" si="43"/>
        <v>0</v>
      </c>
      <c r="Q111" s="276">
        <f t="shared" si="44"/>
        <v>0</v>
      </c>
      <c r="R111" s="277">
        <f t="shared" si="45"/>
        <v>0</v>
      </c>
      <c r="S111" s="276">
        <f t="shared" si="46"/>
        <v>10</v>
      </c>
      <c r="T111" s="276">
        <f t="shared" si="47"/>
        <v>4195.7</v>
      </c>
      <c r="U111" s="276"/>
      <c r="V111" s="249"/>
      <c r="W111" s="278">
        <f t="shared" si="2"/>
        <v>0</v>
      </c>
      <c r="X111" s="279"/>
      <c r="Y111" s="249"/>
    </row>
    <row r="112" spans="2:26" ht="18" customHeight="1">
      <c r="B112" s="266">
        <f t="shared" si="48"/>
        <v>69</v>
      </c>
      <c r="C112" s="301" t="s">
        <v>266</v>
      </c>
      <c r="D112" s="251" t="s">
        <v>261</v>
      </c>
      <c r="E112" s="252" t="s">
        <v>175</v>
      </c>
      <c r="F112" s="251">
        <v>2</v>
      </c>
      <c r="G112" s="303">
        <v>339.51</v>
      </c>
      <c r="H112" s="303">
        <v>323.83</v>
      </c>
      <c r="I112" s="251"/>
      <c r="J112" s="272">
        <f t="shared" si="39"/>
        <v>663.33999999999992</v>
      </c>
      <c r="K112" s="272">
        <f t="shared" si="40"/>
        <v>1326.6799999999998</v>
      </c>
      <c r="L112" s="273"/>
      <c r="M112" s="274">
        <f t="shared" si="41"/>
        <v>0</v>
      </c>
      <c r="N112" s="275"/>
      <c r="O112" s="276">
        <f t="shared" si="42"/>
        <v>0</v>
      </c>
      <c r="P112" s="273">
        <f t="shared" si="43"/>
        <v>0</v>
      </c>
      <c r="Q112" s="276">
        <f t="shared" si="44"/>
        <v>0</v>
      </c>
      <c r="R112" s="277">
        <f t="shared" si="45"/>
        <v>0</v>
      </c>
      <c r="S112" s="276">
        <f t="shared" si="46"/>
        <v>2</v>
      </c>
      <c r="T112" s="276">
        <f t="shared" si="47"/>
        <v>1326.6799999999998</v>
      </c>
      <c r="U112" s="276"/>
      <c r="V112" s="249"/>
      <c r="W112" s="278">
        <f t="shared" si="2"/>
        <v>0</v>
      </c>
      <c r="X112" s="279"/>
      <c r="Y112" s="249"/>
    </row>
    <row r="113" spans="2:26" ht="18" customHeight="1">
      <c r="B113" s="266">
        <f t="shared" si="48"/>
        <v>70</v>
      </c>
      <c r="C113" s="301" t="s">
        <v>267</v>
      </c>
      <c r="D113" s="251" t="s">
        <v>261</v>
      </c>
      <c r="E113" s="252" t="s">
        <v>175</v>
      </c>
      <c r="F113" s="251">
        <v>2</v>
      </c>
      <c r="G113" s="303">
        <v>643.30999999999995</v>
      </c>
      <c r="H113" s="303">
        <v>647.67999999999995</v>
      </c>
      <c r="I113" s="251"/>
      <c r="J113" s="272">
        <f t="shared" si="39"/>
        <v>1290.9899999999998</v>
      </c>
      <c r="K113" s="272">
        <f t="shared" si="40"/>
        <v>2581.9799999999996</v>
      </c>
      <c r="L113" s="273"/>
      <c r="M113" s="274">
        <f t="shared" si="41"/>
        <v>0</v>
      </c>
      <c r="N113" s="275"/>
      <c r="O113" s="276">
        <f t="shared" si="42"/>
        <v>0</v>
      </c>
      <c r="P113" s="273">
        <f t="shared" si="43"/>
        <v>0</v>
      </c>
      <c r="Q113" s="276">
        <f t="shared" si="44"/>
        <v>0</v>
      </c>
      <c r="R113" s="277">
        <f t="shared" si="45"/>
        <v>0</v>
      </c>
      <c r="S113" s="276">
        <f t="shared" si="46"/>
        <v>2</v>
      </c>
      <c r="T113" s="276">
        <f t="shared" si="47"/>
        <v>2581.9799999999996</v>
      </c>
      <c r="U113" s="276"/>
      <c r="V113" s="249"/>
      <c r="W113" s="278">
        <f t="shared" ref="W113:W176" si="49">M113-V113</f>
        <v>0</v>
      </c>
      <c r="X113" s="279"/>
      <c r="Y113" s="249"/>
    </row>
    <row r="114" spans="2:26" ht="18" customHeight="1">
      <c r="B114" s="266">
        <f t="shared" si="48"/>
        <v>71</v>
      </c>
      <c r="C114" s="301" t="s">
        <v>268</v>
      </c>
      <c r="D114" s="251" t="s">
        <v>261</v>
      </c>
      <c r="E114" s="252" t="s">
        <v>175</v>
      </c>
      <c r="F114" s="251">
        <v>2</v>
      </c>
      <c r="G114" s="303">
        <v>375.26</v>
      </c>
      <c r="H114" s="303">
        <v>308.52</v>
      </c>
      <c r="I114" s="251"/>
      <c r="J114" s="272">
        <f t="shared" si="39"/>
        <v>683.78</v>
      </c>
      <c r="K114" s="272">
        <f t="shared" si="40"/>
        <v>1367.56</v>
      </c>
      <c r="L114" s="273"/>
      <c r="M114" s="274">
        <f t="shared" si="41"/>
        <v>0</v>
      </c>
      <c r="N114" s="275"/>
      <c r="O114" s="276">
        <f t="shared" si="42"/>
        <v>0</v>
      </c>
      <c r="P114" s="273">
        <f t="shared" si="43"/>
        <v>0</v>
      </c>
      <c r="Q114" s="276">
        <f t="shared" si="44"/>
        <v>0</v>
      </c>
      <c r="R114" s="277">
        <f t="shared" si="45"/>
        <v>0</v>
      </c>
      <c r="S114" s="276">
        <f t="shared" si="46"/>
        <v>2</v>
      </c>
      <c r="T114" s="276">
        <f t="shared" si="47"/>
        <v>1367.56</v>
      </c>
      <c r="U114" s="276"/>
      <c r="V114" s="249"/>
      <c r="W114" s="278">
        <f t="shared" si="49"/>
        <v>0</v>
      </c>
      <c r="X114" s="279"/>
      <c r="Y114" s="249"/>
    </row>
    <row r="115" spans="2:26" ht="18" customHeight="1">
      <c r="B115" s="266">
        <f t="shared" si="48"/>
        <v>72</v>
      </c>
      <c r="C115" s="301" t="s">
        <v>269</v>
      </c>
      <c r="D115" s="251" t="s">
        <v>261</v>
      </c>
      <c r="E115" s="252" t="s">
        <v>175</v>
      </c>
      <c r="F115" s="251">
        <v>2</v>
      </c>
      <c r="G115" s="303">
        <v>142.94999999999999</v>
      </c>
      <c r="H115" s="303">
        <v>123.63</v>
      </c>
      <c r="I115" s="251"/>
      <c r="J115" s="272">
        <f t="shared" si="39"/>
        <v>266.58</v>
      </c>
      <c r="K115" s="272">
        <f t="shared" si="40"/>
        <v>533.16</v>
      </c>
      <c r="L115" s="273"/>
      <c r="M115" s="274">
        <f t="shared" si="41"/>
        <v>0</v>
      </c>
      <c r="N115" s="275"/>
      <c r="O115" s="276">
        <f t="shared" si="42"/>
        <v>0</v>
      </c>
      <c r="P115" s="273">
        <f t="shared" si="43"/>
        <v>0</v>
      </c>
      <c r="Q115" s="276">
        <f t="shared" si="44"/>
        <v>0</v>
      </c>
      <c r="R115" s="277">
        <f t="shared" si="45"/>
        <v>0</v>
      </c>
      <c r="S115" s="276">
        <f t="shared" si="46"/>
        <v>2</v>
      </c>
      <c r="T115" s="276">
        <f t="shared" si="47"/>
        <v>533.16</v>
      </c>
      <c r="U115" s="276"/>
      <c r="V115" s="249"/>
      <c r="W115" s="278">
        <f t="shared" si="49"/>
        <v>0</v>
      </c>
      <c r="X115" s="279"/>
      <c r="Y115" s="249"/>
    </row>
    <row r="116" spans="2:26" ht="18" customHeight="1">
      <c r="B116" s="266">
        <f t="shared" si="48"/>
        <v>73</v>
      </c>
      <c r="C116" s="301" t="s">
        <v>270</v>
      </c>
      <c r="D116" s="251" t="s">
        <v>261</v>
      </c>
      <c r="E116" s="252" t="s">
        <v>175</v>
      </c>
      <c r="F116" s="251">
        <v>2</v>
      </c>
      <c r="G116" s="303">
        <v>84.88</v>
      </c>
      <c r="H116" s="303">
        <v>97.39</v>
      </c>
      <c r="I116" s="251"/>
      <c r="J116" s="272">
        <f t="shared" si="39"/>
        <v>182.26999999999998</v>
      </c>
      <c r="K116" s="272">
        <f t="shared" si="40"/>
        <v>364.53999999999996</v>
      </c>
      <c r="L116" s="273"/>
      <c r="M116" s="274">
        <f t="shared" si="41"/>
        <v>0</v>
      </c>
      <c r="N116" s="275"/>
      <c r="O116" s="276">
        <f t="shared" si="42"/>
        <v>0</v>
      </c>
      <c r="P116" s="273">
        <f t="shared" si="43"/>
        <v>0</v>
      </c>
      <c r="Q116" s="276">
        <f t="shared" si="44"/>
        <v>0</v>
      </c>
      <c r="R116" s="277">
        <f t="shared" si="45"/>
        <v>0</v>
      </c>
      <c r="S116" s="276">
        <f t="shared" si="46"/>
        <v>2</v>
      </c>
      <c r="T116" s="276">
        <f t="shared" si="47"/>
        <v>364.53999999999996</v>
      </c>
      <c r="U116" s="276"/>
      <c r="V116" s="249"/>
      <c r="W116" s="278">
        <f t="shared" si="49"/>
        <v>0</v>
      </c>
      <c r="X116" s="279"/>
      <c r="Y116" s="249"/>
    </row>
    <row r="117" spans="2:26" ht="18" customHeight="1">
      <c r="B117" s="266">
        <f t="shared" si="48"/>
        <v>74</v>
      </c>
      <c r="C117" s="301" t="s">
        <v>271</v>
      </c>
      <c r="D117" s="251" t="s">
        <v>261</v>
      </c>
      <c r="E117" s="252" t="s">
        <v>175</v>
      </c>
      <c r="F117" s="251">
        <v>2</v>
      </c>
      <c r="G117" s="303">
        <v>75.94</v>
      </c>
      <c r="H117" s="303">
        <v>97.39</v>
      </c>
      <c r="I117" s="251"/>
      <c r="J117" s="272">
        <f t="shared" si="39"/>
        <v>173.32999999999998</v>
      </c>
      <c r="K117" s="272">
        <f t="shared" si="40"/>
        <v>346.65999999999997</v>
      </c>
      <c r="L117" s="273"/>
      <c r="M117" s="274">
        <f t="shared" si="41"/>
        <v>0</v>
      </c>
      <c r="N117" s="275"/>
      <c r="O117" s="276">
        <f t="shared" si="42"/>
        <v>0</v>
      </c>
      <c r="P117" s="273">
        <f t="shared" si="43"/>
        <v>0</v>
      </c>
      <c r="Q117" s="276">
        <f t="shared" si="44"/>
        <v>0</v>
      </c>
      <c r="R117" s="277">
        <f t="shared" si="45"/>
        <v>0</v>
      </c>
      <c r="S117" s="276">
        <f t="shared" si="46"/>
        <v>2</v>
      </c>
      <c r="T117" s="276">
        <f t="shared" si="47"/>
        <v>346.65999999999997</v>
      </c>
      <c r="U117" s="276"/>
      <c r="V117" s="249"/>
      <c r="W117" s="278">
        <f t="shared" si="49"/>
        <v>0</v>
      </c>
      <c r="X117" s="279"/>
      <c r="Y117" s="249"/>
    </row>
    <row r="118" spans="2:26" ht="18" customHeight="1">
      <c r="B118" s="266">
        <f t="shared" si="48"/>
        <v>75</v>
      </c>
      <c r="C118" s="301" t="s">
        <v>272</v>
      </c>
      <c r="D118" s="251" t="s">
        <v>261</v>
      </c>
      <c r="E118" s="252" t="s">
        <v>175</v>
      </c>
      <c r="F118" s="251">
        <v>2</v>
      </c>
      <c r="G118" s="303">
        <v>759.46</v>
      </c>
      <c r="H118" s="303">
        <v>717.18</v>
      </c>
      <c r="I118" s="251"/>
      <c r="J118" s="272">
        <f t="shared" si="39"/>
        <v>1476.6399999999999</v>
      </c>
      <c r="K118" s="272">
        <f t="shared" si="40"/>
        <v>2953.2799999999997</v>
      </c>
      <c r="L118" s="273"/>
      <c r="M118" s="274">
        <f t="shared" si="41"/>
        <v>0</v>
      </c>
      <c r="N118" s="275"/>
      <c r="O118" s="276">
        <f t="shared" si="42"/>
        <v>0</v>
      </c>
      <c r="P118" s="273">
        <f t="shared" si="43"/>
        <v>0</v>
      </c>
      <c r="Q118" s="276">
        <f t="shared" si="44"/>
        <v>0</v>
      </c>
      <c r="R118" s="277">
        <f t="shared" si="45"/>
        <v>0</v>
      </c>
      <c r="S118" s="276">
        <f t="shared" si="46"/>
        <v>2</v>
      </c>
      <c r="T118" s="276">
        <f t="shared" si="47"/>
        <v>2953.2799999999997</v>
      </c>
      <c r="U118" s="276"/>
      <c r="V118" s="249"/>
      <c r="W118" s="278">
        <f t="shared" si="49"/>
        <v>0</v>
      </c>
      <c r="X118" s="279"/>
      <c r="Y118" s="249"/>
    </row>
    <row r="119" spans="2:26" ht="18" customHeight="1">
      <c r="B119" s="266">
        <f t="shared" si="48"/>
        <v>76</v>
      </c>
      <c r="C119" s="301" t="s">
        <v>273</v>
      </c>
      <c r="D119" s="251" t="s">
        <v>261</v>
      </c>
      <c r="E119" s="252" t="s">
        <v>175</v>
      </c>
      <c r="F119" s="251">
        <v>2</v>
      </c>
      <c r="G119" s="303">
        <v>402.06</v>
      </c>
      <c r="H119" s="303">
        <v>323.83</v>
      </c>
      <c r="I119" s="251"/>
      <c r="J119" s="272">
        <f t="shared" si="39"/>
        <v>725.89</v>
      </c>
      <c r="K119" s="272">
        <f t="shared" si="40"/>
        <v>1451.78</v>
      </c>
      <c r="L119" s="273"/>
      <c r="M119" s="274">
        <f t="shared" si="41"/>
        <v>0</v>
      </c>
      <c r="N119" s="275"/>
      <c r="O119" s="276">
        <f t="shared" si="42"/>
        <v>0</v>
      </c>
      <c r="P119" s="273">
        <f t="shared" si="43"/>
        <v>0</v>
      </c>
      <c r="Q119" s="276">
        <f t="shared" si="44"/>
        <v>0</v>
      </c>
      <c r="R119" s="277">
        <f t="shared" si="45"/>
        <v>0</v>
      </c>
      <c r="S119" s="276">
        <f t="shared" si="46"/>
        <v>2</v>
      </c>
      <c r="T119" s="276">
        <f t="shared" si="47"/>
        <v>1451.78</v>
      </c>
      <c r="U119" s="276"/>
      <c r="V119" s="249"/>
      <c r="W119" s="278">
        <f t="shared" si="49"/>
        <v>0</v>
      </c>
      <c r="X119" s="279"/>
      <c r="Y119" s="249"/>
    </row>
    <row r="120" spans="2:26" ht="18" customHeight="1">
      <c r="B120" s="266">
        <f t="shared" si="48"/>
        <v>77</v>
      </c>
      <c r="C120" s="301"/>
      <c r="D120" s="251"/>
      <c r="E120" s="252"/>
      <c r="F120" s="251"/>
      <c r="G120" s="303"/>
      <c r="H120" s="303"/>
      <c r="I120" s="251"/>
      <c r="J120" s="272"/>
      <c r="K120" s="272"/>
      <c r="L120" s="273"/>
      <c r="M120" s="274"/>
      <c r="N120" s="275"/>
      <c r="O120" s="276"/>
      <c r="P120" s="273"/>
      <c r="Q120" s="276"/>
      <c r="R120" s="277"/>
      <c r="S120" s="276"/>
      <c r="T120" s="276"/>
      <c r="U120" s="276"/>
      <c r="V120" s="249"/>
      <c r="W120" s="278">
        <f t="shared" si="49"/>
        <v>0</v>
      </c>
      <c r="X120" s="279"/>
      <c r="Y120" s="249"/>
    </row>
    <row r="121" spans="2:26" s="304" customFormat="1" ht="18" customHeight="1">
      <c r="B121" s="281">
        <f t="shared" si="48"/>
        <v>78</v>
      </c>
      <c r="C121" s="305" t="s">
        <v>171</v>
      </c>
      <c r="D121" s="306"/>
      <c r="E121" s="307"/>
      <c r="F121" s="306"/>
      <c r="G121" s="308"/>
      <c r="H121" s="308"/>
      <c r="I121" s="306"/>
      <c r="J121" s="287"/>
      <c r="K121" s="309">
        <f>SUM(K105:K120)</f>
        <v>31845.22</v>
      </c>
      <c r="L121" s="288"/>
      <c r="M121" s="309">
        <f>SUM(M117:M120)</f>
        <v>0</v>
      </c>
      <c r="N121" s="288"/>
      <c r="O121" s="287">
        <f>Q121-M121</f>
        <v>0</v>
      </c>
      <c r="P121" s="288"/>
      <c r="Q121" s="309">
        <f>SUM(Q105:Q120)</f>
        <v>0</v>
      </c>
      <c r="R121" s="289">
        <f>IFERROR(+Q121/K121,0)</f>
        <v>0</v>
      </c>
      <c r="S121" s="290"/>
      <c r="T121" s="290">
        <f>SUM(T117:T120)</f>
        <v>4751.7199999999993</v>
      </c>
      <c r="U121" s="290"/>
      <c r="V121" s="249"/>
      <c r="W121" s="278">
        <f t="shared" si="49"/>
        <v>0</v>
      </c>
      <c r="X121" s="279"/>
      <c r="Y121" s="249"/>
      <c r="Z121" s="174"/>
    </row>
    <row r="122" spans="2:26" s="217" customFormat="1" ht="18" customHeight="1">
      <c r="B122" s="260">
        <f t="shared" si="48"/>
        <v>79</v>
      </c>
      <c r="C122" s="291" t="s">
        <v>274</v>
      </c>
      <c r="D122" s="310"/>
      <c r="E122" s="293"/>
      <c r="F122" s="310"/>
      <c r="G122" s="311"/>
      <c r="H122" s="311"/>
      <c r="I122" s="310"/>
      <c r="J122" s="295"/>
      <c r="K122" s="295"/>
      <c r="L122" s="299"/>
      <c r="M122" s="296"/>
      <c r="N122" s="297"/>
      <c r="O122" s="298"/>
      <c r="P122" s="299"/>
      <c r="Q122" s="298"/>
      <c r="R122" s="300"/>
      <c r="S122" s="298"/>
      <c r="T122" s="298"/>
      <c r="U122" s="298"/>
      <c r="V122" s="249"/>
      <c r="W122" s="278">
        <f t="shared" si="49"/>
        <v>0</v>
      </c>
      <c r="X122" s="279"/>
      <c r="Y122" s="249"/>
      <c r="Z122" s="174"/>
    </row>
    <row r="123" spans="2:26" ht="18" customHeight="1">
      <c r="B123" s="266">
        <f t="shared" si="48"/>
        <v>80</v>
      </c>
      <c r="C123" s="301" t="s">
        <v>275</v>
      </c>
      <c r="D123" s="251"/>
      <c r="E123" s="252"/>
      <c r="F123" s="251"/>
      <c r="G123" s="303"/>
      <c r="H123" s="303"/>
      <c r="I123" s="251"/>
      <c r="J123" s="272">
        <f t="shared" ref="J123:J167" si="50">I123+H123+G123</f>
        <v>0</v>
      </c>
      <c r="K123" s="272">
        <f t="shared" ref="K123:K167" si="51">J123*F123</f>
        <v>0</v>
      </c>
      <c r="L123" s="273"/>
      <c r="M123" s="274">
        <f t="shared" ref="M123:M167" si="52">L123*J123</f>
        <v>0</v>
      </c>
      <c r="N123" s="275"/>
      <c r="O123" s="276">
        <f t="shared" ref="O123:O167" si="53">N123*J123</f>
        <v>0</v>
      </c>
      <c r="P123" s="273">
        <f t="shared" ref="P123:P167" si="54">N123+L123</f>
        <v>0</v>
      </c>
      <c r="Q123" s="276">
        <f t="shared" ref="Q123:Q167" si="55">P123*J123</f>
        <v>0</v>
      </c>
      <c r="R123" s="277">
        <f t="shared" ref="R123:R167" si="56">IFERROR(Q123/K123,0)</f>
        <v>0</v>
      </c>
      <c r="S123" s="276">
        <f t="shared" ref="S123:S167" si="57">F123-P123</f>
        <v>0</v>
      </c>
      <c r="T123" s="276">
        <f t="shared" ref="T123:T167" si="58">K123-Q123</f>
        <v>0</v>
      </c>
      <c r="U123" s="276"/>
      <c r="V123" s="249"/>
      <c r="W123" s="278">
        <f t="shared" si="49"/>
        <v>0</v>
      </c>
      <c r="X123" s="279"/>
      <c r="Y123" s="249"/>
    </row>
    <row r="124" spans="2:26" ht="18" customHeight="1">
      <c r="B124" s="266">
        <f t="shared" si="48"/>
        <v>81</v>
      </c>
      <c r="C124" s="301" t="s">
        <v>276</v>
      </c>
      <c r="D124" s="251"/>
      <c r="E124" s="252"/>
      <c r="F124" s="251"/>
      <c r="G124" s="303"/>
      <c r="H124" s="303"/>
      <c r="I124" s="251"/>
      <c r="J124" s="272">
        <f t="shared" si="50"/>
        <v>0</v>
      </c>
      <c r="K124" s="272">
        <f t="shared" si="51"/>
        <v>0</v>
      </c>
      <c r="L124" s="273"/>
      <c r="M124" s="274">
        <f t="shared" si="52"/>
        <v>0</v>
      </c>
      <c r="N124" s="275"/>
      <c r="O124" s="276">
        <f t="shared" si="53"/>
        <v>0</v>
      </c>
      <c r="P124" s="273">
        <f t="shared" si="54"/>
        <v>0</v>
      </c>
      <c r="Q124" s="276">
        <f t="shared" si="55"/>
        <v>0</v>
      </c>
      <c r="R124" s="277">
        <f t="shared" si="56"/>
        <v>0</v>
      </c>
      <c r="S124" s="276">
        <f t="shared" si="57"/>
        <v>0</v>
      </c>
      <c r="T124" s="276">
        <f t="shared" si="58"/>
        <v>0</v>
      </c>
      <c r="U124" s="276"/>
      <c r="V124" s="249"/>
      <c r="W124" s="278">
        <f t="shared" si="49"/>
        <v>0</v>
      </c>
      <c r="X124" s="279"/>
      <c r="Y124" s="249"/>
    </row>
    <row r="125" spans="2:26" ht="18" customHeight="1">
      <c r="B125" s="266">
        <f t="shared" si="48"/>
        <v>82</v>
      </c>
      <c r="C125" s="301" t="s">
        <v>165</v>
      </c>
      <c r="D125" s="251"/>
      <c r="E125" s="252" t="s">
        <v>166</v>
      </c>
      <c r="F125" s="251">
        <v>30</v>
      </c>
      <c r="G125" s="303">
        <v>0</v>
      </c>
      <c r="H125" s="303">
        <v>14.11</v>
      </c>
      <c r="I125" s="251"/>
      <c r="J125" s="272">
        <f t="shared" si="50"/>
        <v>14.11</v>
      </c>
      <c r="K125" s="272">
        <f t="shared" si="51"/>
        <v>423.29999999999995</v>
      </c>
      <c r="L125" s="273"/>
      <c r="M125" s="274">
        <f t="shared" si="52"/>
        <v>0</v>
      </c>
      <c r="N125" s="275"/>
      <c r="O125" s="276">
        <f t="shared" si="53"/>
        <v>0</v>
      </c>
      <c r="P125" s="273">
        <f t="shared" si="54"/>
        <v>0</v>
      </c>
      <c r="Q125" s="276">
        <f t="shared" si="55"/>
        <v>0</v>
      </c>
      <c r="R125" s="277">
        <f t="shared" si="56"/>
        <v>0</v>
      </c>
      <c r="S125" s="276">
        <f t="shared" si="57"/>
        <v>30</v>
      </c>
      <c r="T125" s="276">
        <f t="shared" si="58"/>
        <v>423.29999999999995</v>
      </c>
      <c r="U125" s="276"/>
      <c r="V125" s="249"/>
      <c r="W125" s="278">
        <f t="shared" si="49"/>
        <v>0</v>
      </c>
      <c r="X125" s="279"/>
      <c r="Y125" s="249"/>
    </row>
    <row r="126" spans="2:26" ht="18" customHeight="1">
      <c r="B126" s="266">
        <f t="shared" si="48"/>
        <v>83</v>
      </c>
      <c r="C126" s="301" t="s">
        <v>277</v>
      </c>
      <c r="D126" s="251" t="s">
        <v>278</v>
      </c>
      <c r="E126" s="252" t="s">
        <v>212</v>
      </c>
      <c r="F126" s="251">
        <v>1</v>
      </c>
      <c r="G126" s="303">
        <v>0</v>
      </c>
      <c r="H126" s="303">
        <v>1042.19</v>
      </c>
      <c r="I126" s="251"/>
      <c r="J126" s="272">
        <f t="shared" si="50"/>
        <v>1042.19</v>
      </c>
      <c r="K126" s="272">
        <f t="shared" si="51"/>
        <v>1042.19</v>
      </c>
      <c r="L126" s="273"/>
      <c r="M126" s="274">
        <f t="shared" si="52"/>
        <v>0</v>
      </c>
      <c r="N126" s="275">
        <v>0.3</v>
      </c>
      <c r="O126" s="276">
        <f t="shared" si="53"/>
        <v>312.65699999999998</v>
      </c>
      <c r="P126" s="273">
        <f t="shared" si="54"/>
        <v>0.3</v>
      </c>
      <c r="Q126" s="276">
        <f t="shared" si="55"/>
        <v>312.65699999999998</v>
      </c>
      <c r="R126" s="277">
        <f t="shared" si="56"/>
        <v>0.3</v>
      </c>
      <c r="S126" s="276">
        <f t="shared" si="57"/>
        <v>0.7</v>
      </c>
      <c r="T126" s="276">
        <f t="shared" si="58"/>
        <v>729.53300000000013</v>
      </c>
      <c r="U126" s="276"/>
      <c r="V126" s="249"/>
      <c r="W126" s="278">
        <f t="shared" si="49"/>
        <v>0</v>
      </c>
      <c r="X126" s="279"/>
      <c r="Y126" s="249"/>
    </row>
    <row r="127" spans="2:26" ht="18" customHeight="1">
      <c r="B127" s="266">
        <f t="shared" si="48"/>
        <v>84</v>
      </c>
      <c r="C127" s="301" t="s">
        <v>279</v>
      </c>
      <c r="D127" s="251" t="s">
        <v>280</v>
      </c>
      <c r="E127" s="252" t="s">
        <v>166</v>
      </c>
      <c r="F127" s="251">
        <v>130</v>
      </c>
      <c r="G127" s="303">
        <v>0</v>
      </c>
      <c r="H127" s="303">
        <v>33.18</v>
      </c>
      <c r="I127" s="251"/>
      <c r="J127" s="272">
        <f t="shared" si="50"/>
        <v>33.18</v>
      </c>
      <c r="K127" s="272">
        <f t="shared" si="51"/>
        <v>4313.3999999999996</v>
      </c>
      <c r="L127" s="273"/>
      <c r="M127" s="274">
        <f t="shared" si="52"/>
        <v>0</v>
      </c>
      <c r="N127" s="275">
        <v>39</v>
      </c>
      <c r="O127" s="276">
        <f t="shared" si="53"/>
        <v>1294.02</v>
      </c>
      <c r="P127" s="273">
        <f t="shared" si="54"/>
        <v>39</v>
      </c>
      <c r="Q127" s="276">
        <f t="shared" si="55"/>
        <v>1294.02</v>
      </c>
      <c r="R127" s="277">
        <f t="shared" si="56"/>
        <v>0.30000000000000004</v>
      </c>
      <c r="S127" s="276">
        <f t="shared" si="57"/>
        <v>91</v>
      </c>
      <c r="T127" s="276">
        <f t="shared" si="58"/>
        <v>3019.3799999999997</v>
      </c>
      <c r="U127" s="276"/>
      <c r="V127" s="249"/>
      <c r="W127" s="278">
        <f t="shared" si="49"/>
        <v>0</v>
      </c>
      <c r="X127" s="279"/>
      <c r="Y127" s="249"/>
    </row>
    <row r="128" spans="2:26" ht="18" customHeight="1">
      <c r="B128" s="266">
        <f t="shared" si="48"/>
        <v>85</v>
      </c>
      <c r="C128" s="301" t="s">
        <v>281</v>
      </c>
      <c r="D128" s="251" t="s">
        <v>282</v>
      </c>
      <c r="E128" s="252" t="s">
        <v>212</v>
      </c>
      <c r="F128" s="251">
        <v>22</v>
      </c>
      <c r="G128" s="303">
        <v>0</v>
      </c>
      <c r="H128" s="303">
        <v>134.63999999999999</v>
      </c>
      <c r="I128" s="251"/>
      <c r="J128" s="272">
        <f t="shared" si="50"/>
        <v>134.63999999999999</v>
      </c>
      <c r="K128" s="272">
        <f t="shared" si="51"/>
        <v>2962.08</v>
      </c>
      <c r="L128" s="273"/>
      <c r="M128" s="274">
        <f t="shared" si="52"/>
        <v>0</v>
      </c>
      <c r="N128" s="275">
        <v>6.6</v>
      </c>
      <c r="O128" s="276">
        <f t="shared" si="53"/>
        <v>888.62399999999991</v>
      </c>
      <c r="P128" s="273">
        <f t="shared" si="54"/>
        <v>6.6</v>
      </c>
      <c r="Q128" s="276">
        <f t="shared" si="55"/>
        <v>888.62399999999991</v>
      </c>
      <c r="R128" s="277">
        <f t="shared" si="56"/>
        <v>0.3</v>
      </c>
      <c r="S128" s="276">
        <f t="shared" si="57"/>
        <v>15.4</v>
      </c>
      <c r="T128" s="276">
        <f t="shared" si="58"/>
        <v>2073.4560000000001</v>
      </c>
      <c r="U128" s="276"/>
      <c r="V128" s="249"/>
      <c r="W128" s="278">
        <f t="shared" si="49"/>
        <v>0</v>
      </c>
      <c r="X128" s="279"/>
      <c r="Y128" s="249"/>
    </row>
    <row r="129" spans="2:25" ht="18" customHeight="1">
      <c r="B129" s="266">
        <f t="shared" si="48"/>
        <v>86</v>
      </c>
      <c r="C129" s="301" t="s">
        <v>283</v>
      </c>
      <c r="D129" s="251"/>
      <c r="E129" s="252"/>
      <c r="F129" s="251"/>
      <c r="G129" s="303"/>
      <c r="H129" s="303"/>
      <c r="I129" s="251"/>
      <c r="J129" s="272">
        <f t="shared" si="50"/>
        <v>0</v>
      </c>
      <c r="K129" s="272">
        <f t="shared" si="51"/>
        <v>0</v>
      </c>
      <c r="L129" s="273"/>
      <c r="M129" s="274">
        <f t="shared" si="52"/>
        <v>0</v>
      </c>
      <c r="N129" s="275"/>
      <c r="O129" s="276">
        <f t="shared" si="53"/>
        <v>0</v>
      </c>
      <c r="P129" s="273">
        <f t="shared" si="54"/>
        <v>0</v>
      </c>
      <c r="Q129" s="276">
        <f t="shared" si="55"/>
        <v>0</v>
      </c>
      <c r="R129" s="277">
        <f t="shared" si="56"/>
        <v>0</v>
      </c>
      <c r="S129" s="276">
        <f t="shared" si="57"/>
        <v>0</v>
      </c>
      <c r="T129" s="276">
        <f t="shared" si="58"/>
        <v>0</v>
      </c>
      <c r="U129" s="276"/>
      <c r="V129" s="249"/>
      <c r="W129" s="278">
        <f t="shared" si="49"/>
        <v>0</v>
      </c>
      <c r="X129" s="279"/>
      <c r="Y129" s="249"/>
    </row>
    <row r="130" spans="2:25" ht="18" customHeight="1">
      <c r="B130" s="266">
        <f t="shared" si="48"/>
        <v>87</v>
      </c>
      <c r="C130" s="301" t="s">
        <v>284</v>
      </c>
      <c r="D130" s="251"/>
      <c r="E130" s="252" t="s">
        <v>166</v>
      </c>
      <c r="F130" s="251">
        <v>30</v>
      </c>
      <c r="G130" s="303">
        <v>16.07</v>
      </c>
      <c r="H130" s="303">
        <v>59.3</v>
      </c>
      <c r="I130" s="251"/>
      <c r="J130" s="272">
        <f t="shared" si="50"/>
        <v>75.37</v>
      </c>
      <c r="K130" s="272">
        <f t="shared" si="51"/>
        <v>2261.1000000000004</v>
      </c>
      <c r="L130" s="273"/>
      <c r="M130" s="274">
        <f t="shared" si="52"/>
        <v>0</v>
      </c>
      <c r="N130" s="275"/>
      <c r="O130" s="276">
        <f t="shared" si="53"/>
        <v>0</v>
      </c>
      <c r="P130" s="273">
        <f t="shared" si="54"/>
        <v>0</v>
      </c>
      <c r="Q130" s="276">
        <f t="shared" si="55"/>
        <v>0</v>
      </c>
      <c r="R130" s="277">
        <f t="shared" si="56"/>
        <v>0</v>
      </c>
      <c r="S130" s="276">
        <f t="shared" si="57"/>
        <v>30</v>
      </c>
      <c r="T130" s="276">
        <f t="shared" si="58"/>
        <v>2261.1000000000004</v>
      </c>
      <c r="U130" s="276"/>
      <c r="V130" s="249"/>
      <c r="W130" s="278">
        <f t="shared" si="49"/>
        <v>0</v>
      </c>
      <c r="X130" s="279"/>
      <c r="Y130" s="249"/>
    </row>
    <row r="131" spans="2:25" ht="18" customHeight="1">
      <c r="B131" s="266">
        <f t="shared" si="48"/>
        <v>88</v>
      </c>
      <c r="C131" s="301" t="s">
        <v>285</v>
      </c>
      <c r="D131" s="251" t="s">
        <v>286</v>
      </c>
      <c r="E131" s="252" t="s">
        <v>212</v>
      </c>
      <c r="F131" s="251">
        <v>1</v>
      </c>
      <c r="G131" s="303">
        <v>49.14</v>
      </c>
      <c r="H131" s="303">
        <v>173.49</v>
      </c>
      <c r="I131" s="251"/>
      <c r="J131" s="272">
        <f t="shared" si="50"/>
        <v>222.63</v>
      </c>
      <c r="K131" s="272">
        <f t="shared" si="51"/>
        <v>222.63</v>
      </c>
      <c r="L131" s="273"/>
      <c r="M131" s="274">
        <f t="shared" si="52"/>
        <v>0</v>
      </c>
      <c r="N131" s="275"/>
      <c r="O131" s="276">
        <f t="shared" si="53"/>
        <v>0</v>
      </c>
      <c r="P131" s="273">
        <f t="shared" si="54"/>
        <v>0</v>
      </c>
      <c r="Q131" s="276">
        <f t="shared" si="55"/>
        <v>0</v>
      </c>
      <c r="R131" s="277">
        <f t="shared" si="56"/>
        <v>0</v>
      </c>
      <c r="S131" s="276">
        <f t="shared" si="57"/>
        <v>1</v>
      </c>
      <c r="T131" s="276">
        <f t="shared" si="58"/>
        <v>222.63</v>
      </c>
      <c r="U131" s="276"/>
      <c r="V131" s="249"/>
      <c r="W131" s="278">
        <f t="shared" si="49"/>
        <v>0</v>
      </c>
      <c r="X131" s="279"/>
      <c r="Y131" s="249"/>
    </row>
    <row r="132" spans="2:25" ht="18" customHeight="1">
      <c r="B132" s="266">
        <f t="shared" si="48"/>
        <v>89</v>
      </c>
      <c r="C132" s="301" t="s">
        <v>287</v>
      </c>
      <c r="D132" s="251" t="s">
        <v>288</v>
      </c>
      <c r="E132" s="252" t="s">
        <v>289</v>
      </c>
      <c r="F132" s="251">
        <v>895</v>
      </c>
      <c r="G132" s="303">
        <v>2.12</v>
      </c>
      <c r="H132" s="303">
        <v>4.7</v>
      </c>
      <c r="I132" s="251"/>
      <c r="J132" s="272">
        <f t="shared" si="50"/>
        <v>6.82</v>
      </c>
      <c r="K132" s="272">
        <f t="shared" si="51"/>
        <v>6103.9000000000005</v>
      </c>
      <c r="L132" s="273"/>
      <c r="M132" s="274">
        <f t="shared" si="52"/>
        <v>0</v>
      </c>
      <c r="N132" s="275"/>
      <c r="O132" s="276">
        <f t="shared" si="53"/>
        <v>0</v>
      </c>
      <c r="P132" s="273">
        <f t="shared" si="54"/>
        <v>0</v>
      </c>
      <c r="Q132" s="276">
        <f t="shared" si="55"/>
        <v>0</v>
      </c>
      <c r="R132" s="277">
        <f t="shared" si="56"/>
        <v>0</v>
      </c>
      <c r="S132" s="276">
        <f t="shared" si="57"/>
        <v>895</v>
      </c>
      <c r="T132" s="276">
        <f t="shared" si="58"/>
        <v>6103.9000000000005</v>
      </c>
      <c r="U132" s="276"/>
      <c r="V132" s="249"/>
      <c r="W132" s="278">
        <f t="shared" si="49"/>
        <v>0</v>
      </c>
      <c r="X132" s="279"/>
      <c r="Y132" s="249"/>
    </row>
    <row r="133" spans="2:25" ht="18" customHeight="1">
      <c r="B133" s="266">
        <f t="shared" si="48"/>
        <v>90</v>
      </c>
      <c r="C133" s="301" t="s">
        <v>290</v>
      </c>
      <c r="D133" s="251" t="s">
        <v>291</v>
      </c>
      <c r="E133" s="252" t="s">
        <v>289</v>
      </c>
      <c r="F133" s="251">
        <v>895</v>
      </c>
      <c r="G133" s="303">
        <v>0.12</v>
      </c>
      <c r="H133" s="303">
        <v>0.61</v>
      </c>
      <c r="I133" s="251"/>
      <c r="J133" s="272">
        <f t="shared" si="50"/>
        <v>0.73</v>
      </c>
      <c r="K133" s="272">
        <f t="shared" si="51"/>
        <v>653.35</v>
      </c>
      <c r="L133" s="273"/>
      <c r="M133" s="274">
        <f t="shared" si="52"/>
        <v>0</v>
      </c>
      <c r="N133" s="275"/>
      <c r="O133" s="276">
        <f t="shared" si="53"/>
        <v>0</v>
      </c>
      <c r="P133" s="273">
        <f t="shared" si="54"/>
        <v>0</v>
      </c>
      <c r="Q133" s="276">
        <f t="shared" si="55"/>
        <v>0</v>
      </c>
      <c r="R133" s="277">
        <f t="shared" si="56"/>
        <v>0</v>
      </c>
      <c r="S133" s="276">
        <f t="shared" si="57"/>
        <v>895</v>
      </c>
      <c r="T133" s="276">
        <f t="shared" si="58"/>
        <v>653.35</v>
      </c>
      <c r="U133" s="276"/>
      <c r="V133" s="249"/>
      <c r="W133" s="278">
        <f t="shared" si="49"/>
        <v>0</v>
      </c>
      <c r="X133" s="279"/>
      <c r="Y133" s="249"/>
    </row>
    <row r="134" spans="2:25" ht="18" customHeight="1">
      <c r="B134" s="266">
        <f t="shared" si="48"/>
        <v>91</v>
      </c>
      <c r="C134" s="301" t="s">
        <v>292</v>
      </c>
      <c r="D134" s="251" t="s">
        <v>293</v>
      </c>
      <c r="E134" s="252" t="s">
        <v>289</v>
      </c>
      <c r="F134" s="251">
        <v>895</v>
      </c>
      <c r="G134" s="303">
        <v>1.42</v>
      </c>
      <c r="H134" s="303">
        <v>3.78</v>
      </c>
      <c r="I134" s="251"/>
      <c r="J134" s="272">
        <f t="shared" si="50"/>
        <v>5.1999999999999993</v>
      </c>
      <c r="K134" s="272">
        <f t="shared" si="51"/>
        <v>4653.9999999999991</v>
      </c>
      <c r="L134" s="273"/>
      <c r="M134" s="274">
        <f t="shared" si="52"/>
        <v>0</v>
      </c>
      <c r="N134" s="275"/>
      <c r="O134" s="276">
        <f t="shared" si="53"/>
        <v>0</v>
      </c>
      <c r="P134" s="273">
        <f t="shared" si="54"/>
        <v>0</v>
      </c>
      <c r="Q134" s="276">
        <f t="shared" si="55"/>
        <v>0</v>
      </c>
      <c r="R134" s="277">
        <f t="shared" si="56"/>
        <v>0</v>
      </c>
      <c r="S134" s="276">
        <f t="shared" si="57"/>
        <v>895</v>
      </c>
      <c r="T134" s="276">
        <f t="shared" si="58"/>
        <v>4653.9999999999991</v>
      </c>
      <c r="U134" s="276"/>
      <c r="V134" s="249"/>
      <c r="W134" s="278">
        <f t="shared" si="49"/>
        <v>0</v>
      </c>
      <c r="X134" s="279"/>
      <c r="Y134" s="249"/>
    </row>
    <row r="135" spans="2:25" ht="18" customHeight="1">
      <c r="B135" s="266">
        <f t="shared" si="48"/>
        <v>92</v>
      </c>
      <c r="C135" s="301" t="s">
        <v>285</v>
      </c>
      <c r="D135" s="251" t="s">
        <v>294</v>
      </c>
      <c r="E135" s="252" t="s">
        <v>212</v>
      </c>
      <c r="F135" s="251">
        <v>22</v>
      </c>
      <c r="G135" s="303">
        <v>49.14</v>
      </c>
      <c r="H135" s="303">
        <v>173.49</v>
      </c>
      <c r="I135" s="251"/>
      <c r="J135" s="272">
        <f t="shared" si="50"/>
        <v>222.63</v>
      </c>
      <c r="K135" s="272">
        <f t="shared" si="51"/>
        <v>4897.8599999999997</v>
      </c>
      <c r="L135" s="273"/>
      <c r="M135" s="274">
        <f t="shared" si="52"/>
        <v>0</v>
      </c>
      <c r="N135" s="275"/>
      <c r="O135" s="276">
        <f t="shared" si="53"/>
        <v>0</v>
      </c>
      <c r="P135" s="273">
        <f t="shared" si="54"/>
        <v>0</v>
      </c>
      <c r="Q135" s="276">
        <f t="shared" si="55"/>
        <v>0</v>
      </c>
      <c r="R135" s="277">
        <f t="shared" si="56"/>
        <v>0</v>
      </c>
      <c r="S135" s="276">
        <f t="shared" si="57"/>
        <v>22</v>
      </c>
      <c r="T135" s="276">
        <f t="shared" si="58"/>
        <v>4897.8599999999997</v>
      </c>
      <c r="U135" s="276"/>
      <c r="V135" s="249"/>
      <c r="W135" s="278">
        <f t="shared" si="49"/>
        <v>0</v>
      </c>
      <c r="X135" s="279"/>
      <c r="Y135" s="249"/>
    </row>
    <row r="136" spans="2:25" ht="18" customHeight="1">
      <c r="B136" s="266">
        <f t="shared" si="48"/>
        <v>93</v>
      </c>
      <c r="C136" s="301" t="s">
        <v>295</v>
      </c>
      <c r="D136" s="251"/>
      <c r="E136" s="252" t="s">
        <v>166</v>
      </c>
      <c r="F136" s="251">
        <v>30</v>
      </c>
      <c r="G136" s="303">
        <v>33.94</v>
      </c>
      <c r="H136" s="303">
        <v>56.02</v>
      </c>
      <c r="I136" s="251"/>
      <c r="J136" s="272">
        <f t="shared" si="50"/>
        <v>89.960000000000008</v>
      </c>
      <c r="K136" s="272">
        <f t="shared" si="51"/>
        <v>2698.8</v>
      </c>
      <c r="L136" s="273"/>
      <c r="M136" s="274">
        <f t="shared" si="52"/>
        <v>0</v>
      </c>
      <c r="N136" s="275"/>
      <c r="O136" s="276">
        <f t="shared" si="53"/>
        <v>0</v>
      </c>
      <c r="P136" s="273">
        <f t="shared" si="54"/>
        <v>0</v>
      </c>
      <c r="Q136" s="276">
        <f t="shared" si="55"/>
        <v>0</v>
      </c>
      <c r="R136" s="277">
        <f t="shared" si="56"/>
        <v>0</v>
      </c>
      <c r="S136" s="276">
        <f t="shared" si="57"/>
        <v>30</v>
      </c>
      <c r="T136" s="276">
        <f t="shared" si="58"/>
        <v>2698.8</v>
      </c>
      <c r="U136" s="276"/>
      <c r="V136" s="249"/>
      <c r="W136" s="278">
        <f t="shared" si="49"/>
        <v>0</v>
      </c>
      <c r="X136" s="279"/>
      <c r="Y136" s="249"/>
    </row>
    <row r="137" spans="2:25" ht="18" customHeight="1">
      <c r="B137" s="266">
        <f t="shared" si="48"/>
        <v>94</v>
      </c>
      <c r="C137" s="301" t="s">
        <v>296</v>
      </c>
      <c r="D137" s="251" t="s">
        <v>297</v>
      </c>
      <c r="E137" s="252" t="s">
        <v>166</v>
      </c>
      <c r="F137" s="251">
        <v>90</v>
      </c>
      <c r="G137" s="303">
        <v>1.06</v>
      </c>
      <c r="H137" s="303">
        <v>6.75</v>
      </c>
      <c r="I137" s="251"/>
      <c r="J137" s="272">
        <f t="shared" si="50"/>
        <v>7.8100000000000005</v>
      </c>
      <c r="K137" s="272">
        <f t="shared" si="51"/>
        <v>702.90000000000009</v>
      </c>
      <c r="L137" s="273"/>
      <c r="M137" s="274">
        <f t="shared" si="52"/>
        <v>0</v>
      </c>
      <c r="N137" s="275"/>
      <c r="O137" s="276">
        <f t="shared" si="53"/>
        <v>0</v>
      </c>
      <c r="P137" s="273">
        <f t="shared" si="54"/>
        <v>0</v>
      </c>
      <c r="Q137" s="276">
        <f t="shared" si="55"/>
        <v>0</v>
      </c>
      <c r="R137" s="277">
        <f t="shared" si="56"/>
        <v>0</v>
      </c>
      <c r="S137" s="276">
        <f t="shared" si="57"/>
        <v>90</v>
      </c>
      <c r="T137" s="276">
        <f t="shared" si="58"/>
        <v>702.90000000000009</v>
      </c>
      <c r="U137" s="276"/>
      <c r="V137" s="249"/>
      <c r="W137" s="278">
        <f t="shared" si="49"/>
        <v>0</v>
      </c>
      <c r="X137" s="279"/>
      <c r="Y137" s="249"/>
    </row>
    <row r="138" spans="2:25" ht="18" customHeight="1">
      <c r="B138" s="266">
        <f t="shared" si="48"/>
        <v>95</v>
      </c>
      <c r="C138" s="301" t="s">
        <v>298</v>
      </c>
      <c r="D138" s="251" t="s">
        <v>299</v>
      </c>
      <c r="E138" s="252" t="s">
        <v>158</v>
      </c>
      <c r="F138" s="251">
        <v>1</v>
      </c>
      <c r="G138" s="303">
        <v>0</v>
      </c>
      <c r="H138" s="303">
        <v>8218.6200000000008</v>
      </c>
      <c r="I138" s="251"/>
      <c r="J138" s="272">
        <f t="shared" si="50"/>
        <v>8218.6200000000008</v>
      </c>
      <c r="K138" s="272">
        <f t="shared" si="51"/>
        <v>8218.6200000000008</v>
      </c>
      <c r="L138" s="273"/>
      <c r="M138" s="274">
        <f t="shared" si="52"/>
        <v>0</v>
      </c>
      <c r="N138" s="275"/>
      <c r="O138" s="276">
        <f t="shared" si="53"/>
        <v>0</v>
      </c>
      <c r="P138" s="273">
        <f t="shared" si="54"/>
        <v>0</v>
      </c>
      <c r="Q138" s="276">
        <f t="shared" si="55"/>
        <v>0</v>
      </c>
      <c r="R138" s="277">
        <f t="shared" si="56"/>
        <v>0</v>
      </c>
      <c r="S138" s="276">
        <f t="shared" si="57"/>
        <v>1</v>
      </c>
      <c r="T138" s="276">
        <f t="shared" si="58"/>
        <v>8218.6200000000008</v>
      </c>
      <c r="U138" s="276"/>
      <c r="V138" s="249"/>
      <c r="W138" s="278">
        <f t="shared" si="49"/>
        <v>0</v>
      </c>
      <c r="X138" s="279"/>
      <c r="Y138" s="249"/>
    </row>
    <row r="139" spans="2:25" ht="18" customHeight="1">
      <c r="B139" s="266">
        <f t="shared" si="48"/>
        <v>96</v>
      </c>
      <c r="C139" s="301" t="s">
        <v>300</v>
      </c>
      <c r="D139" s="251"/>
      <c r="E139" s="252"/>
      <c r="F139" s="251"/>
      <c r="G139" s="303"/>
      <c r="H139" s="303"/>
      <c r="I139" s="251"/>
      <c r="J139" s="272">
        <f t="shared" si="50"/>
        <v>0</v>
      </c>
      <c r="K139" s="272">
        <f t="shared" si="51"/>
        <v>0</v>
      </c>
      <c r="L139" s="273"/>
      <c r="M139" s="274">
        <f t="shared" si="52"/>
        <v>0</v>
      </c>
      <c r="N139" s="275"/>
      <c r="O139" s="276">
        <f t="shared" si="53"/>
        <v>0</v>
      </c>
      <c r="P139" s="273">
        <f t="shared" si="54"/>
        <v>0</v>
      </c>
      <c r="Q139" s="276">
        <f t="shared" si="55"/>
        <v>0</v>
      </c>
      <c r="R139" s="277">
        <f t="shared" si="56"/>
        <v>0</v>
      </c>
      <c r="S139" s="276">
        <f t="shared" si="57"/>
        <v>0</v>
      </c>
      <c r="T139" s="276">
        <f t="shared" si="58"/>
        <v>0</v>
      </c>
      <c r="U139" s="276"/>
      <c r="V139" s="249"/>
      <c r="W139" s="278">
        <f t="shared" si="49"/>
        <v>0</v>
      </c>
      <c r="X139" s="279"/>
      <c r="Y139" s="249"/>
    </row>
    <row r="140" spans="2:25" ht="18" customHeight="1">
      <c r="B140" s="266">
        <f t="shared" si="48"/>
        <v>97</v>
      </c>
      <c r="C140" s="301" t="s">
        <v>276</v>
      </c>
      <c r="D140" s="251"/>
      <c r="E140" s="252"/>
      <c r="F140" s="251"/>
      <c r="G140" s="303"/>
      <c r="H140" s="303"/>
      <c r="I140" s="251"/>
      <c r="J140" s="272">
        <f t="shared" si="50"/>
        <v>0</v>
      </c>
      <c r="K140" s="272">
        <f t="shared" si="51"/>
        <v>0</v>
      </c>
      <c r="L140" s="273"/>
      <c r="M140" s="274">
        <f t="shared" si="52"/>
        <v>0</v>
      </c>
      <c r="N140" s="275"/>
      <c r="O140" s="276">
        <f t="shared" si="53"/>
        <v>0</v>
      </c>
      <c r="P140" s="273">
        <f t="shared" si="54"/>
        <v>0</v>
      </c>
      <c r="Q140" s="276">
        <f t="shared" si="55"/>
        <v>0</v>
      </c>
      <c r="R140" s="277">
        <f t="shared" si="56"/>
        <v>0</v>
      </c>
      <c r="S140" s="276">
        <f t="shared" si="57"/>
        <v>0</v>
      </c>
      <c r="T140" s="276">
        <f t="shared" si="58"/>
        <v>0</v>
      </c>
      <c r="U140" s="276"/>
      <c r="V140" s="249"/>
      <c r="W140" s="278">
        <f t="shared" si="49"/>
        <v>0</v>
      </c>
      <c r="X140" s="279"/>
      <c r="Y140" s="249"/>
    </row>
    <row r="141" spans="2:25" ht="18" customHeight="1">
      <c r="B141" s="266">
        <f t="shared" si="48"/>
        <v>98</v>
      </c>
      <c r="C141" s="301" t="s">
        <v>301</v>
      </c>
      <c r="D141" s="251"/>
      <c r="E141" s="252" t="s">
        <v>212</v>
      </c>
      <c r="F141" s="251">
        <v>16</v>
      </c>
      <c r="G141" s="303">
        <v>0</v>
      </c>
      <c r="H141" s="303">
        <v>1042.19</v>
      </c>
      <c r="I141" s="251"/>
      <c r="J141" s="272">
        <f t="shared" si="50"/>
        <v>1042.19</v>
      </c>
      <c r="K141" s="272">
        <f t="shared" si="51"/>
        <v>16675.04</v>
      </c>
      <c r="L141" s="273"/>
      <c r="M141" s="274">
        <f t="shared" si="52"/>
        <v>0</v>
      </c>
      <c r="N141" s="275"/>
      <c r="O141" s="276">
        <f t="shared" si="53"/>
        <v>0</v>
      </c>
      <c r="P141" s="273">
        <f t="shared" si="54"/>
        <v>0</v>
      </c>
      <c r="Q141" s="276">
        <f t="shared" si="55"/>
        <v>0</v>
      </c>
      <c r="R141" s="277">
        <f t="shared" si="56"/>
        <v>0</v>
      </c>
      <c r="S141" s="276">
        <f t="shared" si="57"/>
        <v>16</v>
      </c>
      <c r="T141" s="276">
        <f t="shared" si="58"/>
        <v>16675.04</v>
      </c>
      <c r="U141" s="276"/>
      <c r="V141" s="249"/>
      <c r="W141" s="278">
        <f t="shared" si="49"/>
        <v>0</v>
      </c>
      <c r="X141" s="279"/>
      <c r="Y141" s="249"/>
    </row>
    <row r="142" spans="2:25" ht="18" customHeight="1">
      <c r="B142" s="266">
        <f t="shared" si="48"/>
        <v>99</v>
      </c>
      <c r="C142" s="301" t="s">
        <v>302</v>
      </c>
      <c r="D142" s="251"/>
      <c r="E142" s="252"/>
      <c r="F142" s="251"/>
      <c r="G142" s="303"/>
      <c r="H142" s="303"/>
      <c r="I142" s="251"/>
      <c r="J142" s="272">
        <f t="shared" si="50"/>
        <v>0</v>
      </c>
      <c r="K142" s="272">
        <f t="shared" si="51"/>
        <v>0</v>
      </c>
      <c r="L142" s="273"/>
      <c r="M142" s="274">
        <f t="shared" si="52"/>
        <v>0</v>
      </c>
      <c r="N142" s="275"/>
      <c r="O142" s="276">
        <f t="shared" si="53"/>
        <v>0</v>
      </c>
      <c r="P142" s="273">
        <f t="shared" si="54"/>
        <v>0</v>
      </c>
      <c r="Q142" s="276">
        <f t="shared" si="55"/>
        <v>0</v>
      </c>
      <c r="R142" s="277">
        <f t="shared" si="56"/>
        <v>0</v>
      </c>
      <c r="S142" s="276">
        <f t="shared" si="57"/>
        <v>0</v>
      </c>
      <c r="T142" s="276">
        <f t="shared" si="58"/>
        <v>0</v>
      </c>
      <c r="U142" s="276"/>
      <c r="V142" s="249"/>
      <c r="W142" s="278">
        <f t="shared" si="49"/>
        <v>0</v>
      </c>
      <c r="X142" s="279"/>
      <c r="Y142" s="249"/>
    </row>
    <row r="143" spans="2:25" ht="18" customHeight="1">
      <c r="B143" s="266">
        <f t="shared" si="48"/>
        <v>100</v>
      </c>
      <c r="C143" s="301" t="s">
        <v>303</v>
      </c>
      <c r="D143" s="251" t="s">
        <v>304</v>
      </c>
      <c r="E143" s="252" t="s">
        <v>212</v>
      </c>
      <c r="F143" s="251">
        <v>343</v>
      </c>
      <c r="G143" s="303">
        <v>10.72</v>
      </c>
      <c r="H143" s="303">
        <v>47.71</v>
      </c>
      <c r="I143" s="251"/>
      <c r="J143" s="272">
        <f t="shared" si="50"/>
        <v>58.43</v>
      </c>
      <c r="K143" s="272">
        <f t="shared" si="51"/>
        <v>20041.490000000002</v>
      </c>
      <c r="L143" s="273"/>
      <c r="M143" s="274">
        <f t="shared" si="52"/>
        <v>0</v>
      </c>
      <c r="N143" s="275">
        <v>343</v>
      </c>
      <c r="O143" s="276">
        <f t="shared" si="53"/>
        <v>20041.490000000002</v>
      </c>
      <c r="P143" s="273">
        <f t="shared" si="54"/>
        <v>343</v>
      </c>
      <c r="Q143" s="276">
        <f t="shared" si="55"/>
        <v>20041.490000000002</v>
      </c>
      <c r="R143" s="277">
        <f t="shared" si="56"/>
        <v>1</v>
      </c>
      <c r="S143" s="276">
        <f t="shared" si="57"/>
        <v>0</v>
      </c>
      <c r="T143" s="276">
        <f t="shared" si="58"/>
        <v>0</v>
      </c>
      <c r="U143" s="276"/>
      <c r="V143" s="249"/>
      <c r="W143" s="278">
        <f t="shared" si="49"/>
        <v>0</v>
      </c>
      <c r="X143" s="279"/>
      <c r="Y143" s="249"/>
    </row>
    <row r="144" spans="2:25" ht="18" customHeight="1">
      <c r="B144" s="266">
        <f t="shared" si="48"/>
        <v>101</v>
      </c>
      <c r="C144" s="301" t="s">
        <v>305</v>
      </c>
      <c r="D144" s="251" t="s">
        <v>304</v>
      </c>
      <c r="E144" s="252" t="s">
        <v>289</v>
      </c>
      <c r="F144" s="251">
        <v>1296</v>
      </c>
      <c r="G144" s="303">
        <v>0.3</v>
      </c>
      <c r="H144" s="303">
        <v>1.97</v>
      </c>
      <c r="I144" s="251"/>
      <c r="J144" s="272">
        <f t="shared" si="50"/>
        <v>2.27</v>
      </c>
      <c r="K144" s="272">
        <f t="shared" si="51"/>
        <v>2941.92</v>
      </c>
      <c r="L144" s="273"/>
      <c r="M144" s="274">
        <f t="shared" si="52"/>
        <v>0</v>
      </c>
      <c r="N144" s="275">
        <v>1296</v>
      </c>
      <c r="O144" s="276">
        <f t="shared" si="53"/>
        <v>2941.92</v>
      </c>
      <c r="P144" s="273">
        <f t="shared" si="54"/>
        <v>1296</v>
      </c>
      <c r="Q144" s="276">
        <f t="shared" si="55"/>
        <v>2941.92</v>
      </c>
      <c r="R144" s="277">
        <f t="shared" si="56"/>
        <v>1</v>
      </c>
      <c r="S144" s="276">
        <f t="shared" si="57"/>
        <v>0</v>
      </c>
      <c r="T144" s="276">
        <f t="shared" si="58"/>
        <v>0</v>
      </c>
      <c r="U144" s="276"/>
      <c r="V144" s="249"/>
      <c r="W144" s="278">
        <f t="shared" si="49"/>
        <v>0</v>
      </c>
      <c r="X144" s="279"/>
      <c r="Y144" s="249"/>
    </row>
    <row r="145" spans="2:25" ht="18" customHeight="1">
      <c r="B145" s="266">
        <f t="shared" si="48"/>
        <v>102</v>
      </c>
      <c r="C145" s="301" t="s">
        <v>306</v>
      </c>
      <c r="D145" s="251" t="s">
        <v>307</v>
      </c>
      <c r="E145" s="252" t="s">
        <v>166</v>
      </c>
      <c r="F145" s="251">
        <v>45</v>
      </c>
      <c r="G145" s="303">
        <v>33.94</v>
      </c>
      <c r="H145" s="303">
        <v>141.76</v>
      </c>
      <c r="I145" s="251"/>
      <c r="J145" s="272">
        <f t="shared" si="50"/>
        <v>175.7</v>
      </c>
      <c r="K145" s="272">
        <f t="shared" si="51"/>
        <v>7906.4999999999991</v>
      </c>
      <c r="L145" s="273"/>
      <c r="M145" s="274">
        <f t="shared" si="52"/>
        <v>0</v>
      </c>
      <c r="N145" s="275">
        <v>45</v>
      </c>
      <c r="O145" s="276">
        <f t="shared" si="53"/>
        <v>7906.4999999999991</v>
      </c>
      <c r="P145" s="273">
        <f t="shared" si="54"/>
        <v>45</v>
      </c>
      <c r="Q145" s="276">
        <f t="shared" si="55"/>
        <v>7906.4999999999991</v>
      </c>
      <c r="R145" s="277">
        <f t="shared" si="56"/>
        <v>1</v>
      </c>
      <c r="S145" s="276">
        <f t="shared" si="57"/>
        <v>0</v>
      </c>
      <c r="T145" s="276">
        <f t="shared" si="58"/>
        <v>0</v>
      </c>
      <c r="U145" s="276"/>
      <c r="V145" s="249"/>
      <c r="W145" s="278">
        <f t="shared" si="49"/>
        <v>0</v>
      </c>
      <c r="X145" s="279"/>
      <c r="Y145" s="249"/>
    </row>
    <row r="146" spans="2:25" ht="18" customHeight="1">
      <c r="B146" s="266">
        <f t="shared" si="48"/>
        <v>103</v>
      </c>
      <c r="C146" s="301" t="s">
        <v>308</v>
      </c>
      <c r="D146" s="251"/>
      <c r="E146" s="252"/>
      <c r="F146" s="251"/>
      <c r="G146" s="303"/>
      <c r="H146" s="303"/>
      <c r="I146" s="251"/>
      <c r="J146" s="272">
        <f t="shared" si="50"/>
        <v>0</v>
      </c>
      <c r="K146" s="272">
        <f t="shared" si="51"/>
        <v>0</v>
      </c>
      <c r="L146" s="273"/>
      <c r="M146" s="274">
        <f t="shared" si="52"/>
        <v>0</v>
      </c>
      <c r="N146" s="275"/>
      <c r="O146" s="276">
        <f t="shared" si="53"/>
        <v>0</v>
      </c>
      <c r="P146" s="273">
        <f t="shared" si="54"/>
        <v>0</v>
      </c>
      <c r="Q146" s="276">
        <f t="shared" si="55"/>
        <v>0</v>
      </c>
      <c r="R146" s="277">
        <f t="shared" si="56"/>
        <v>0</v>
      </c>
      <c r="S146" s="276">
        <f t="shared" si="57"/>
        <v>0</v>
      </c>
      <c r="T146" s="276">
        <f t="shared" si="58"/>
        <v>0</v>
      </c>
      <c r="U146" s="276"/>
      <c r="V146" s="249"/>
      <c r="W146" s="278">
        <f t="shared" si="49"/>
        <v>0</v>
      </c>
      <c r="X146" s="279"/>
      <c r="Y146" s="249"/>
    </row>
    <row r="147" spans="2:25" ht="18" customHeight="1">
      <c r="B147" s="266">
        <f t="shared" si="48"/>
        <v>104</v>
      </c>
      <c r="C147" s="301" t="s">
        <v>277</v>
      </c>
      <c r="D147" s="251" t="s">
        <v>309</v>
      </c>
      <c r="E147" s="252" t="s">
        <v>212</v>
      </c>
      <c r="F147" s="251">
        <v>1</v>
      </c>
      <c r="G147" s="303">
        <v>0</v>
      </c>
      <c r="H147" s="303">
        <v>1042.19</v>
      </c>
      <c r="I147" s="251"/>
      <c r="J147" s="272">
        <f t="shared" si="50"/>
        <v>1042.19</v>
      </c>
      <c r="K147" s="272">
        <f t="shared" si="51"/>
        <v>1042.19</v>
      </c>
      <c r="L147" s="273"/>
      <c r="M147" s="274">
        <f t="shared" si="52"/>
        <v>0</v>
      </c>
      <c r="N147" s="275"/>
      <c r="O147" s="276">
        <f t="shared" si="53"/>
        <v>0</v>
      </c>
      <c r="P147" s="273">
        <f t="shared" si="54"/>
        <v>0</v>
      </c>
      <c r="Q147" s="276">
        <f t="shared" si="55"/>
        <v>0</v>
      </c>
      <c r="R147" s="277">
        <f t="shared" si="56"/>
        <v>0</v>
      </c>
      <c r="S147" s="276">
        <f t="shared" si="57"/>
        <v>1</v>
      </c>
      <c r="T147" s="276">
        <f t="shared" si="58"/>
        <v>1042.19</v>
      </c>
      <c r="U147" s="276"/>
      <c r="V147" s="249"/>
      <c r="W147" s="278">
        <f t="shared" si="49"/>
        <v>0</v>
      </c>
      <c r="X147" s="279"/>
      <c r="Y147" s="249"/>
    </row>
    <row r="148" spans="2:25" ht="18" customHeight="1">
      <c r="B148" s="266">
        <f t="shared" si="48"/>
        <v>105</v>
      </c>
      <c r="C148" s="301" t="s">
        <v>284</v>
      </c>
      <c r="D148" s="251"/>
      <c r="E148" s="252" t="s">
        <v>166</v>
      </c>
      <c r="F148" s="251">
        <v>391</v>
      </c>
      <c r="G148" s="303">
        <v>16.07</v>
      </c>
      <c r="H148" s="303">
        <v>59.3</v>
      </c>
      <c r="I148" s="251"/>
      <c r="J148" s="272">
        <f t="shared" si="50"/>
        <v>75.37</v>
      </c>
      <c r="K148" s="272">
        <f t="shared" si="51"/>
        <v>29469.670000000002</v>
      </c>
      <c r="L148" s="273"/>
      <c r="M148" s="274">
        <f t="shared" si="52"/>
        <v>0</v>
      </c>
      <c r="N148" s="275"/>
      <c r="O148" s="276">
        <f t="shared" si="53"/>
        <v>0</v>
      </c>
      <c r="P148" s="273">
        <f t="shared" si="54"/>
        <v>0</v>
      </c>
      <c r="Q148" s="276">
        <f t="shared" si="55"/>
        <v>0</v>
      </c>
      <c r="R148" s="277">
        <f t="shared" si="56"/>
        <v>0</v>
      </c>
      <c r="S148" s="276">
        <f t="shared" si="57"/>
        <v>391</v>
      </c>
      <c r="T148" s="276">
        <f t="shared" si="58"/>
        <v>29469.670000000002</v>
      </c>
      <c r="U148" s="276"/>
      <c r="V148" s="249"/>
      <c r="W148" s="278">
        <f t="shared" si="49"/>
        <v>0</v>
      </c>
      <c r="X148" s="279"/>
      <c r="Y148" s="249"/>
    </row>
    <row r="149" spans="2:25" ht="18" customHeight="1">
      <c r="B149" s="266">
        <f t="shared" si="48"/>
        <v>106</v>
      </c>
      <c r="C149" s="301" t="s">
        <v>285</v>
      </c>
      <c r="D149" s="251" t="s">
        <v>310</v>
      </c>
      <c r="E149" s="252" t="s">
        <v>212</v>
      </c>
      <c r="F149" s="251">
        <v>14</v>
      </c>
      <c r="G149" s="303">
        <v>49.14</v>
      </c>
      <c r="H149" s="303">
        <v>173.49</v>
      </c>
      <c r="I149" s="251"/>
      <c r="J149" s="272">
        <f t="shared" si="50"/>
        <v>222.63</v>
      </c>
      <c r="K149" s="272">
        <f t="shared" si="51"/>
        <v>3116.8199999999997</v>
      </c>
      <c r="L149" s="273"/>
      <c r="M149" s="274">
        <f t="shared" si="52"/>
        <v>0</v>
      </c>
      <c r="N149" s="275"/>
      <c r="O149" s="276">
        <f t="shared" si="53"/>
        <v>0</v>
      </c>
      <c r="P149" s="273">
        <f t="shared" si="54"/>
        <v>0</v>
      </c>
      <c r="Q149" s="276">
        <f t="shared" si="55"/>
        <v>0</v>
      </c>
      <c r="R149" s="277">
        <f t="shared" si="56"/>
        <v>0</v>
      </c>
      <c r="S149" s="276">
        <f t="shared" si="57"/>
        <v>14</v>
      </c>
      <c r="T149" s="276">
        <f t="shared" si="58"/>
        <v>3116.8199999999997</v>
      </c>
      <c r="U149" s="276"/>
      <c r="V149" s="249"/>
      <c r="W149" s="278">
        <f t="shared" si="49"/>
        <v>0</v>
      </c>
      <c r="X149" s="279"/>
      <c r="Y149" s="249"/>
    </row>
    <row r="150" spans="2:25" ht="18" customHeight="1">
      <c r="B150" s="266">
        <f t="shared" si="48"/>
        <v>107</v>
      </c>
      <c r="C150" s="301" t="s">
        <v>311</v>
      </c>
      <c r="D150" s="251" t="s">
        <v>312</v>
      </c>
      <c r="E150" s="252" t="s">
        <v>289</v>
      </c>
      <c r="F150" s="251">
        <v>332</v>
      </c>
      <c r="G150" s="303">
        <v>1.96</v>
      </c>
      <c r="H150" s="303">
        <v>4.41</v>
      </c>
      <c r="I150" s="251"/>
      <c r="J150" s="272">
        <f t="shared" si="50"/>
        <v>6.37</v>
      </c>
      <c r="K150" s="272">
        <f t="shared" si="51"/>
        <v>2114.84</v>
      </c>
      <c r="L150" s="273"/>
      <c r="M150" s="274">
        <f t="shared" si="52"/>
        <v>0</v>
      </c>
      <c r="N150" s="275"/>
      <c r="O150" s="276">
        <f t="shared" si="53"/>
        <v>0</v>
      </c>
      <c r="P150" s="273">
        <f t="shared" si="54"/>
        <v>0</v>
      </c>
      <c r="Q150" s="276">
        <f t="shared" si="55"/>
        <v>0</v>
      </c>
      <c r="R150" s="277">
        <f t="shared" si="56"/>
        <v>0</v>
      </c>
      <c r="S150" s="276">
        <f t="shared" si="57"/>
        <v>332</v>
      </c>
      <c r="T150" s="276">
        <f t="shared" si="58"/>
        <v>2114.84</v>
      </c>
      <c r="U150" s="276"/>
      <c r="V150" s="249"/>
      <c r="W150" s="278">
        <f t="shared" si="49"/>
        <v>0</v>
      </c>
      <c r="X150" s="279"/>
      <c r="Y150" s="249"/>
    </row>
    <row r="151" spans="2:25" ht="18" customHeight="1">
      <c r="B151" s="266">
        <f t="shared" si="48"/>
        <v>108</v>
      </c>
      <c r="C151" s="301" t="s">
        <v>290</v>
      </c>
      <c r="D151" s="251" t="s">
        <v>291</v>
      </c>
      <c r="E151" s="252" t="s">
        <v>289</v>
      </c>
      <c r="F151" s="251">
        <v>332</v>
      </c>
      <c r="G151" s="303">
        <v>0.12</v>
      </c>
      <c r="H151" s="303">
        <v>0.61</v>
      </c>
      <c r="I151" s="251"/>
      <c r="J151" s="272">
        <f t="shared" si="50"/>
        <v>0.73</v>
      </c>
      <c r="K151" s="272">
        <f t="shared" si="51"/>
        <v>242.35999999999999</v>
      </c>
      <c r="L151" s="273"/>
      <c r="M151" s="274">
        <f t="shared" si="52"/>
        <v>0</v>
      </c>
      <c r="N151" s="275"/>
      <c r="O151" s="276">
        <f t="shared" si="53"/>
        <v>0</v>
      </c>
      <c r="P151" s="273">
        <f t="shared" si="54"/>
        <v>0</v>
      </c>
      <c r="Q151" s="276">
        <f t="shared" si="55"/>
        <v>0</v>
      </c>
      <c r="R151" s="277">
        <f t="shared" si="56"/>
        <v>0</v>
      </c>
      <c r="S151" s="276">
        <f t="shared" si="57"/>
        <v>332</v>
      </c>
      <c r="T151" s="276">
        <f t="shared" si="58"/>
        <v>242.35999999999999</v>
      </c>
      <c r="U151" s="276"/>
      <c r="V151" s="249"/>
      <c r="W151" s="278">
        <f t="shared" si="49"/>
        <v>0</v>
      </c>
      <c r="X151" s="279"/>
      <c r="Y151" s="249"/>
    </row>
    <row r="152" spans="2:25" ht="18" customHeight="1">
      <c r="B152" s="266">
        <f t="shared" si="48"/>
        <v>109</v>
      </c>
      <c r="C152" s="301" t="s">
        <v>313</v>
      </c>
      <c r="D152" s="251" t="s">
        <v>293</v>
      </c>
      <c r="E152" s="252" t="s">
        <v>289</v>
      </c>
      <c r="F152" s="251">
        <v>332</v>
      </c>
      <c r="G152" s="303">
        <v>1.42</v>
      </c>
      <c r="H152" s="303">
        <v>3.78</v>
      </c>
      <c r="I152" s="251"/>
      <c r="J152" s="272">
        <f t="shared" si="50"/>
        <v>5.1999999999999993</v>
      </c>
      <c r="K152" s="272">
        <f t="shared" si="51"/>
        <v>1726.3999999999999</v>
      </c>
      <c r="L152" s="273"/>
      <c r="M152" s="274">
        <f t="shared" si="52"/>
        <v>0</v>
      </c>
      <c r="N152" s="275"/>
      <c r="O152" s="276">
        <f t="shared" si="53"/>
        <v>0</v>
      </c>
      <c r="P152" s="273">
        <f t="shared" si="54"/>
        <v>0</v>
      </c>
      <c r="Q152" s="276">
        <f t="shared" si="55"/>
        <v>0</v>
      </c>
      <c r="R152" s="277">
        <f t="shared" si="56"/>
        <v>0</v>
      </c>
      <c r="S152" s="276">
        <f t="shared" si="57"/>
        <v>332</v>
      </c>
      <c r="T152" s="276">
        <f t="shared" si="58"/>
        <v>1726.3999999999999</v>
      </c>
      <c r="U152" s="276"/>
      <c r="V152" s="249"/>
      <c r="W152" s="278">
        <f t="shared" si="49"/>
        <v>0</v>
      </c>
      <c r="X152" s="279"/>
      <c r="Y152" s="249"/>
    </row>
    <row r="153" spans="2:25" ht="18" customHeight="1">
      <c r="B153" s="266">
        <f t="shared" si="48"/>
        <v>110</v>
      </c>
      <c r="C153" s="301" t="s">
        <v>314</v>
      </c>
      <c r="D153" s="251"/>
      <c r="E153" s="252"/>
      <c r="F153" s="251"/>
      <c r="G153" s="303"/>
      <c r="H153" s="303"/>
      <c r="I153" s="251"/>
      <c r="J153" s="272">
        <f t="shared" si="50"/>
        <v>0</v>
      </c>
      <c r="K153" s="272">
        <f t="shared" si="51"/>
        <v>0</v>
      </c>
      <c r="L153" s="273"/>
      <c r="M153" s="274">
        <f t="shared" si="52"/>
        <v>0</v>
      </c>
      <c r="N153" s="275"/>
      <c r="O153" s="276">
        <f t="shared" si="53"/>
        <v>0</v>
      </c>
      <c r="P153" s="273">
        <f t="shared" si="54"/>
        <v>0</v>
      </c>
      <c r="Q153" s="276">
        <f t="shared" si="55"/>
        <v>0</v>
      </c>
      <c r="R153" s="277">
        <f t="shared" si="56"/>
        <v>0</v>
      </c>
      <c r="S153" s="276">
        <f t="shared" si="57"/>
        <v>0</v>
      </c>
      <c r="T153" s="276">
        <f t="shared" si="58"/>
        <v>0</v>
      </c>
      <c r="U153" s="276"/>
      <c r="V153" s="249"/>
      <c r="W153" s="278">
        <f t="shared" si="49"/>
        <v>0</v>
      </c>
      <c r="X153" s="279"/>
      <c r="Y153" s="249"/>
    </row>
    <row r="154" spans="2:25" ht="18" customHeight="1">
      <c r="B154" s="266">
        <f t="shared" si="48"/>
        <v>111</v>
      </c>
      <c r="C154" s="301" t="s">
        <v>315</v>
      </c>
      <c r="D154" s="251" t="s">
        <v>316</v>
      </c>
      <c r="E154" s="252" t="s">
        <v>158</v>
      </c>
      <c r="F154" s="251">
        <v>1</v>
      </c>
      <c r="G154" s="303">
        <v>0</v>
      </c>
      <c r="H154" s="303">
        <v>4931.17</v>
      </c>
      <c r="I154" s="251"/>
      <c r="J154" s="272">
        <f t="shared" si="50"/>
        <v>4931.17</v>
      </c>
      <c r="K154" s="272">
        <f t="shared" si="51"/>
        <v>4931.17</v>
      </c>
      <c r="L154" s="273"/>
      <c r="M154" s="274">
        <f t="shared" si="52"/>
        <v>0</v>
      </c>
      <c r="N154" s="275"/>
      <c r="O154" s="276">
        <f t="shared" si="53"/>
        <v>0</v>
      </c>
      <c r="P154" s="273">
        <f t="shared" si="54"/>
        <v>0</v>
      </c>
      <c r="Q154" s="276">
        <f t="shared" si="55"/>
        <v>0</v>
      </c>
      <c r="R154" s="277">
        <f t="shared" si="56"/>
        <v>0</v>
      </c>
      <c r="S154" s="276">
        <f t="shared" si="57"/>
        <v>1</v>
      </c>
      <c r="T154" s="276">
        <f t="shared" si="58"/>
        <v>4931.17</v>
      </c>
      <c r="U154" s="276"/>
      <c r="V154" s="249"/>
      <c r="W154" s="278">
        <f t="shared" si="49"/>
        <v>0</v>
      </c>
      <c r="X154" s="279"/>
      <c r="Y154" s="249"/>
    </row>
    <row r="155" spans="2:25" ht="18" customHeight="1">
      <c r="B155" s="266">
        <f t="shared" si="48"/>
        <v>112</v>
      </c>
      <c r="C155" s="301" t="s">
        <v>317</v>
      </c>
      <c r="D155" s="251"/>
      <c r="E155" s="252"/>
      <c r="F155" s="251"/>
      <c r="G155" s="303"/>
      <c r="H155" s="303"/>
      <c r="I155" s="251"/>
      <c r="J155" s="272">
        <f t="shared" si="50"/>
        <v>0</v>
      </c>
      <c r="K155" s="272">
        <f t="shared" si="51"/>
        <v>0</v>
      </c>
      <c r="L155" s="273"/>
      <c r="M155" s="274">
        <f t="shared" si="52"/>
        <v>0</v>
      </c>
      <c r="N155" s="275"/>
      <c r="O155" s="276">
        <f t="shared" si="53"/>
        <v>0</v>
      </c>
      <c r="P155" s="273">
        <f t="shared" si="54"/>
        <v>0</v>
      </c>
      <c r="Q155" s="276">
        <f t="shared" si="55"/>
        <v>0</v>
      </c>
      <c r="R155" s="277">
        <f t="shared" si="56"/>
        <v>0</v>
      </c>
      <c r="S155" s="276">
        <f t="shared" si="57"/>
        <v>0</v>
      </c>
      <c r="T155" s="276">
        <f t="shared" si="58"/>
        <v>0</v>
      </c>
      <c r="U155" s="276"/>
      <c r="V155" s="249"/>
      <c r="W155" s="278">
        <f t="shared" si="49"/>
        <v>0</v>
      </c>
      <c r="X155" s="279"/>
      <c r="Y155" s="249"/>
    </row>
    <row r="156" spans="2:25" ht="18" customHeight="1">
      <c r="B156" s="266">
        <f t="shared" si="48"/>
        <v>113</v>
      </c>
      <c r="C156" s="301" t="s">
        <v>318</v>
      </c>
      <c r="D156" s="251"/>
      <c r="E156" s="252"/>
      <c r="F156" s="251"/>
      <c r="G156" s="303"/>
      <c r="H156" s="303"/>
      <c r="I156" s="251"/>
      <c r="J156" s="272">
        <f t="shared" si="50"/>
        <v>0</v>
      </c>
      <c r="K156" s="272">
        <f t="shared" si="51"/>
        <v>0</v>
      </c>
      <c r="L156" s="273"/>
      <c r="M156" s="274">
        <f t="shared" si="52"/>
        <v>0</v>
      </c>
      <c r="N156" s="275"/>
      <c r="O156" s="276">
        <f t="shared" si="53"/>
        <v>0</v>
      </c>
      <c r="P156" s="273">
        <f t="shared" si="54"/>
        <v>0</v>
      </c>
      <c r="Q156" s="276">
        <f t="shared" si="55"/>
        <v>0</v>
      </c>
      <c r="R156" s="277">
        <f t="shared" si="56"/>
        <v>0</v>
      </c>
      <c r="S156" s="276">
        <f t="shared" si="57"/>
        <v>0</v>
      </c>
      <c r="T156" s="276">
        <f t="shared" si="58"/>
        <v>0</v>
      </c>
      <c r="U156" s="276"/>
      <c r="V156" s="249"/>
      <c r="W156" s="278">
        <f t="shared" si="49"/>
        <v>0</v>
      </c>
      <c r="X156" s="279"/>
      <c r="Y156" s="249"/>
    </row>
    <row r="157" spans="2:25" ht="18" customHeight="1">
      <c r="B157" s="266">
        <f t="shared" si="48"/>
        <v>114</v>
      </c>
      <c r="C157" s="301" t="s">
        <v>277</v>
      </c>
      <c r="D157" s="251" t="s">
        <v>319</v>
      </c>
      <c r="E157" s="252" t="s">
        <v>212</v>
      </c>
      <c r="F157" s="251">
        <v>1</v>
      </c>
      <c r="G157" s="303">
        <v>0</v>
      </c>
      <c r="H157" s="303">
        <v>1042.19</v>
      </c>
      <c r="I157" s="251"/>
      <c r="J157" s="272">
        <f t="shared" si="50"/>
        <v>1042.19</v>
      </c>
      <c r="K157" s="272">
        <f t="shared" si="51"/>
        <v>1042.19</v>
      </c>
      <c r="L157" s="273"/>
      <c r="M157" s="274">
        <f t="shared" si="52"/>
        <v>0</v>
      </c>
      <c r="N157" s="275"/>
      <c r="O157" s="276">
        <f t="shared" si="53"/>
        <v>0</v>
      </c>
      <c r="P157" s="273">
        <f t="shared" si="54"/>
        <v>0</v>
      </c>
      <c r="Q157" s="276">
        <f t="shared" si="55"/>
        <v>0</v>
      </c>
      <c r="R157" s="277">
        <f t="shared" si="56"/>
        <v>0</v>
      </c>
      <c r="S157" s="276">
        <f t="shared" si="57"/>
        <v>1</v>
      </c>
      <c r="T157" s="276">
        <f t="shared" si="58"/>
        <v>1042.19</v>
      </c>
      <c r="U157" s="276"/>
      <c r="V157" s="249"/>
      <c r="W157" s="278">
        <f t="shared" si="49"/>
        <v>0</v>
      </c>
      <c r="X157" s="279"/>
      <c r="Y157" s="249"/>
    </row>
    <row r="158" spans="2:25" ht="18" customHeight="1">
      <c r="B158" s="266">
        <f t="shared" si="48"/>
        <v>115</v>
      </c>
      <c r="C158" s="301" t="s">
        <v>279</v>
      </c>
      <c r="D158" s="251" t="s">
        <v>320</v>
      </c>
      <c r="E158" s="252" t="s">
        <v>166</v>
      </c>
      <c r="F158" s="251">
        <v>116</v>
      </c>
      <c r="G158" s="303">
        <v>0</v>
      </c>
      <c r="H158" s="303">
        <v>33.18</v>
      </c>
      <c r="I158" s="251"/>
      <c r="J158" s="272">
        <f t="shared" si="50"/>
        <v>33.18</v>
      </c>
      <c r="K158" s="272">
        <f t="shared" si="51"/>
        <v>3848.88</v>
      </c>
      <c r="L158" s="273"/>
      <c r="M158" s="274">
        <f t="shared" si="52"/>
        <v>0</v>
      </c>
      <c r="N158" s="275"/>
      <c r="O158" s="276">
        <f t="shared" si="53"/>
        <v>0</v>
      </c>
      <c r="P158" s="273">
        <f t="shared" si="54"/>
        <v>0</v>
      </c>
      <c r="Q158" s="276">
        <f t="shared" si="55"/>
        <v>0</v>
      </c>
      <c r="R158" s="277">
        <f t="shared" si="56"/>
        <v>0</v>
      </c>
      <c r="S158" s="276">
        <f t="shared" si="57"/>
        <v>116</v>
      </c>
      <c r="T158" s="276">
        <f t="shared" si="58"/>
        <v>3848.88</v>
      </c>
      <c r="U158" s="276"/>
      <c r="V158" s="249"/>
      <c r="W158" s="278">
        <f t="shared" si="49"/>
        <v>0</v>
      </c>
      <c r="X158" s="279"/>
      <c r="Y158" s="249"/>
    </row>
    <row r="159" spans="2:25" ht="18" customHeight="1">
      <c r="B159" s="266">
        <f t="shared" si="48"/>
        <v>116</v>
      </c>
      <c r="C159" s="301" t="s">
        <v>321</v>
      </c>
      <c r="D159" s="251" t="s">
        <v>322</v>
      </c>
      <c r="E159" s="252" t="s">
        <v>212</v>
      </c>
      <c r="F159" s="251">
        <v>6</v>
      </c>
      <c r="G159" s="303">
        <v>0</v>
      </c>
      <c r="H159" s="303">
        <v>1169.22</v>
      </c>
      <c r="I159" s="251"/>
      <c r="J159" s="272">
        <f t="shared" si="50"/>
        <v>1169.22</v>
      </c>
      <c r="K159" s="272">
        <f t="shared" si="51"/>
        <v>7015.32</v>
      </c>
      <c r="L159" s="273"/>
      <c r="M159" s="274">
        <f t="shared" si="52"/>
        <v>0</v>
      </c>
      <c r="N159" s="275"/>
      <c r="O159" s="276">
        <f t="shared" si="53"/>
        <v>0</v>
      </c>
      <c r="P159" s="273">
        <f t="shared" si="54"/>
        <v>0</v>
      </c>
      <c r="Q159" s="276">
        <f t="shared" si="55"/>
        <v>0</v>
      </c>
      <c r="R159" s="277">
        <f t="shared" si="56"/>
        <v>0</v>
      </c>
      <c r="S159" s="276">
        <f t="shared" si="57"/>
        <v>6</v>
      </c>
      <c r="T159" s="276">
        <f t="shared" si="58"/>
        <v>7015.32</v>
      </c>
      <c r="U159" s="276"/>
      <c r="V159" s="249"/>
      <c r="W159" s="278">
        <f t="shared" si="49"/>
        <v>0</v>
      </c>
      <c r="X159" s="279"/>
      <c r="Y159" s="249"/>
    </row>
    <row r="160" spans="2:25" ht="18" customHeight="1">
      <c r="B160" s="266">
        <f t="shared" si="48"/>
        <v>117</v>
      </c>
      <c r="C160" s="301" t="s">
        <v>281</v>
      </c>
      <c r="D160" s="251" t="s">
        <v>323</v>
      </c>
      <c r="E160" s="252" t="s">
        <v>212</v>
      </c>
      <c r="F160" s="251">
        <v>12</v>
      </c>
      <c r="G160" s="303">
        <v>0</v>
      </c>
      <c r="H160" s="303">
        <v>134.63999999999999</v>
      </c>
      <c r="I160" s="251"/>
      <c r="J160" s="272">
        <f t="shared" si="50"/>
        <v>134.63999999999999</v>
      </c>
      <c r="K160" s="272">
        <f t="shared" si="51"/>
        <v>1615.6799999999998</v>
      </c>
      <c r="L160" s="273"/>
      <c r="M160" s="274">
        <f t="shared" si="52"/>
        <v>0</v>
      </c>
      <c r="N160" s="275"/>
      <c r="O160" s="276">
        <f t="shared" si="53"/>
        <v>0</v>
      </c>
      <c r="P160" s="273">
        <f t="shared" si="54"/>
        <v>0</v>
      </c>
      <c r="Q160" s="276">
        <f t="shared" si="55"/>
        <v>0</v>
      </c>
      <c r="R160" s="277">
        <f t="shared" si="56"/>
        <v>0</v>
      </c>
      <c r="S160" s="276">
        <f t="shared" si="57"/>
        <v>12</v>
      </c>
      <c r="T160" s="276">
        <f t="shared" si="58"/>
        <v>1615.6799999999998</v>
      </c>
      <c r="U160" s="276"/>
      <c r="V160" s="249"/>
      <c r="W160" s="278">
        <f t="shared" si="49"/>
        <v>0</v>
      </c>
      <c r="X160" s="279"/>
      <c r="Y160" s="249"/>
    </row>
    <row r="161" spans="2:26" ht="18" customHeight="1">
      <c r="B161" s="266">
        <f t="shared" si="48"/>
        <v>118</v>
      </c>
      <c r="C161" s="301" t="s">
        <v>284</v>
      </c>
      <c r="D161" s="251"/>
      <c r="E161" s="252" t="s">
        <v>166</v>
      </c>
      <c r="F161" s="251">
        <v>27</v>
      </c>
      <c r="G161" s="303">
        <v>16.07</v>
      </c>
      <c r="H161" s="303">
        <v>59.3</v>
      </c>
      <c r="I161" s="251"/>
      <c r="J161" s="272">
        <f t="shared" si="50"/>
        <v>75.37</v>
      </c>
      <c r="K161" s="272">
        <f t="shared" si="51"/>
        <v>2034.9900000000002</v>
      </c>
      <c r="L161" s="273"/>
      <c r="M161" s="274">
        <f t="shared" si="52"/>
        <v>0</v>
      </c>
      <c r="N161" s="275"/>
      <c r="O161" s="276">
        <f t="shared" si="53"/>
        <v>0</v>
      </c>
      <c r="P161" s="273">
        <f t="shared" si="54"/>
        <v>0</v>
      </c>
      <c r="Q161" s="276">
        <f t="shared" si="55"/>
        <v>0</v>
      </c>
      <c r="R161" s="277">
        <f t="shared" si="56"/>
        <v>0</v>
      </c>
      <c r="S161" s="276">
        <f t="shared" si="57"/>
        <v>27</v>
      </c>
      <c r="T161" s="276">
        <f t="shared" si="58"/>
        <v>2034.9900000000002</v>
      </c>
      <c r="U161" s="276"/>
      <c r="V161" s="249"/>
      <c r="W161" s="278">
        <f t="shared" si="49"/>
        <v>0</v>
      </c>
      <c r="X161" s="279"/>
      <c r="Y161" s="249"/>
    </row>
    <row r="162" spans="2:26" ht="18" customHeight="1">
      <c r="B162" s="266">
        <f t="shared" si="48"/>
        <v>119</v>
      </c>
      <c r="C162" s="301" t="s">
        <v>285</v>
      </c>
      <c r="D162" s="251" t="s">
        <v>324</v>
      </c>
      <c r="E162" s="252" t="s">
        <v>212</v>
      </c>
      <c r="F162" s="251">
        <v>12</v>
      </c>
      <c r="G162" s="303">
        <v>49.14</v>
      </c>
      <c r="H162" s="303">
        <v>173.49</v>
      </c>
      <c r="I162" s="251"/>
      <c r="J162" s="272">
        <f t="shared" si="50"/>
        <v>222.63</v>
      </c>
      <c r="K162" s="272">
        <f t="shared" si="51"/>
        <v>2671.56</v>
      </c>
      <c r="L162" s="273"/>
      <c r="M162" s="274">
        <f t="shared" si="52"/>
        <v>0</v>
      </c>
      <c r="N162" s="275"/>
      <c r="O162" s="276">
        <f t="shared" si="53"/>
        <v>0</v>
      </c>
      <c r="P162" s="273">
        <f t="shared" si="54"/>
        <v>0</v>
      </c>
      <c r="Q162" s="276">
        <f t="shared" si="55"/>
        <v>0</v>
      </c>
      <c r="R162" s="277">
        <f t="shared" si="56"/>
        <v>0</v>
      </c>
      <c r="S162" s="276">
        <f t="shared" si="57"/>
        <v>12</v>
      </c>
      <c r="T162" s="276">
        <f t="shared" si="58"/>
        <v>2671.56</v>
      </c>
      <c r="U162" s="276"/>
      <c r="V162" s="249"/>
      <c r="W162" s="278">
        <f t="shared" si="49"/>
        <v>0</v>
      </c>
      <c r="X162" s="279"/>
      <c r="Y162" s="249"/>
    </row>
    <row r="163" spans="2:26" ht="18" customHeight="1">
      <c r="B163" s="266">
        <f t="shared" si="48"/>
        <v>120</v>
      </c>
      <c r="C163" s="301" t="s">
        <v>325</v>
      </c>
      <c r="D163" s="251" t="s">
        <v>326</v>
      </c>
      <c r="E163" s="252" t="s">
        <v>327</v>
      </c>
      <c r="F163" s="251">
        <v>6</v>
      </c>
      <c r="G163" s="303">
        <v>214.43</v>
      </c>
      <c r="H163" s="303">
        <v>812.07</v>
      </c>
      <c r="I163" s="251"/>
      <c r="J163" s="272">
        <f t="shared" si="50"/>
        <v>1026.5</v>
      </c>
      <c r="K163" s="272">
        <f t="shared" si="51"/>
        <v>6159</v>
      </c>
      <c r="L163" s="273"/>
      <c r="M163" s="274">
        <f t="shared" si="52"/>
        <v>0</v>
      </c>
      <c r="N163" s="275"/>
      <c r="O163" s="276">
        <f t="shared" si="53"/>
        <v>0</v>
      </c>
      <c r="P163" s="273">
        <f t="shared" si="54"/>
        <v>0</v>
      </c>
      <c r="Q163" s="276">
        <f t="shared" si="55"/>
        <v>0</v>
      </c>
      <c r="R163" s="277">
        <f t="shared" si="56"/>
        <v>0</v>
      </c>
      <c r="S163" s="276">
        <f t="shared" si="57"/>
        <v>6</v>
      </c>
      <c r="T163" s="276">
        <f t="shared" si="58"/>
        <v>6159</v>
      </c>
      <c r="U163" s="276"/>
      <c r="V163" s="249"/>
      <c r="W163" s="278">
        <f t="shared" si="49"/>
        <v>0</v>
      </c>
      <c r="X163" s="279"/>
      <c r="Y163" s="249"/>
    </row>
    <row r="164" spans="2:26" ht="18" customHeight="1">
      <c r="B164" s="266">
        <f t="shared" si="48"/>
        <v>121</v>
      </c>
      <c r="C164" s="301" t="s">
        <v>311</v>
      </c>
      <c r="D164" s="251" t="s">
        <v>312</v>
      </c>
      <c r="E164" s="252" t="s">
        <v>289</v>
      </c>
      <c r="F164" s="251">
        <v>310</v>
      </c>
      <c r="G164" s="303">
        <v>1.96</v>
      </c>
      <c r="H164" s="303">
        <v>4.41</v>
      </c>
      <c r="I164" s="251"/>
      <c r="J164" s="272">
        <f t="shared" si="50"/>
        <v>6.37</v>
      </c>
      <c r="K164" s="272">
        <f t="shared" si="51"/>
        <v>1974.7</v>
      </c>
      <c r="L164" s="273"/>
      <c r="M164" s="274">
        <f t="shared" si="52"/>
        <v>0</v>
      </c>
      <c r="N164" s="275"/>
      <c r="O164" s="276">
        <f t="shared" si="53"/>
        <v>0</v>
      </c>
      <c r="P164" s="273">
        <f t="shared" si="54"/>
        <v>0</v>
      </c>
      <c r="Q164" s="276">
        <f t="shared" si="55"/>
        <v>0</v>
      </c>
      <c r="R164" s="277">
        <f t="shared" si="56"/>
        <v>0</v>
      </c>
      <c r="S164" s="276">
        <f t="shared" si="57"/>
        <v>310</v>
      </c>
      <c r="T164" s="276">
        <f t="shared" si="58"/>
        <v>1974.7</v>
      </c>
      <c r="U164" s="276"/>
      <c r="V164" s="249"/>
      <c r="W164" s="278">
        <f t="shared" si="49"/>
        <v>0</v>
      </c>
      <c r="X164" s="279"/>
      <c r="Y164" s="249"/>
    </row>
    <row r="165" spans="2:26" ht="18" customHeight="1">
      <c r="B165" s="266">
        <f t="shared" si="48"/>
        <v>122</v>
      </c>
      <c r="C165" s="301" t="s">
        <v>290</v>
      </c>
      <c r="D165" s="251" t="s">
        <v>291</v>
      </c>
      <c r="E165" s="252" t="s">
        <v>289</v>
      </c>
      <c r="F165" s="251">
        <v>310</v>
      </c>
      <c r="G165" s="303">
        <v>0.12</v>
      </c>
      <c r="H165" s="303">
        <v>0.61</v>
      </c>
      <c r="I165" s="251"/>
      <c r="J165" s="272">
        <f t="shared" si="50"/>
        <v>0.73</v>
      </c>
      <c r="K165" s="272">
        <f t="shared" si="51"/>
        <v>226.29999999999998</v>
      </c>
      <c r="L165" s="273"/>
      <c r="M165" s="274">
        <f t="shared" si="52"/>
        <v>0</v>
      </c>
      <c r="N165" s="275"/>
      <c r="O165" s="276">
        <f t="shared" si="53"/>
        <v>0</v>
      </c>
      <c r="P165" s="273">
        <f t="shared" si="54"/>
        <v>0</v>
      </c>
      <c r="Q165" s="276">
        <f t="shared" si="55"/>
        <v>0</v>
      </c>
      <c r="R165" s="277">
        <f t="shared" si="56"/>
        <v>0</v>
      </c>
      <c r="S165" s="276">
        <f t="shared" si="57"/>
        <v>310</v>
      </c>
      <c r="T165" s="276">
        <f t="shared" si="58"/>
        <v>226.29999999999998</v>
      </c>
      <c r="U165" s="276"/>
      <c r="V165" s="249"/>
      <c r="W165" s="278">
        <f t="shared" si="49"/>
        <v>0</v>
      </c>
      <c r="X165" s="279"/>
      <c r="Y165" s="249"/>
    </row>
    <row r="166" spans="2:26" ht="18" customHeight="1">
      <c r="B166" s="266">
        <f t="shared" si="48"/>
        <v>123</v>
      </c>
      <c r="C166" s="301" t="s">
        <v>313</v>
      </c>
      <c r="D166" s="251" t="s">
        <v>293</v>
      </c>
      <c r="E166" s="252" t="s">
        <v>289</v>
      </c>
      <c r="F166" s="251">
        <v>310</v>
      </c>
      <c r="G166" s="303">
        <v>1.42</v>
      </c>
      <c r="H166" s="303">
        <v>3.78</v>
      </c>
      <c r="I166" s="251"/>
      <c r="J166" s="272">
        <f t="shared" si="50"/>
        <v>5.1999999999999993</v>
      </c>
      <c r="K166" s="272">
        <f t="shared" si="51"/>
        <v>1611.9999999999998</v>
      </c>
      <c r="L166" s="273"/>
      <c r="M166" s="274">
        <f t="shared" si="52"/>
        <v>0</v>
      </c>
      <c r="N166" s="275"/>
      <c r="O166" s="276">
        <f t="shared" si="53"/>
        <v>0</v>
      </c>
      <c r="P166" s="273">
        <f t="shared" si="54"/>
        <v>0</v>
      </c>
      <c r="Q166" s="276">
        <f t="shared" si="55"/>
        <v>0</v>
      </c>
      <c r="R166" s="277">
        <f t="shared" si="56"/>
        <v>0</v>
      </c>
      <c r="S166" s="276">
        <f t="shared" si="57"/>
        <v>310</v>
      </c>
      <c r="T166" s="276">
        <f t="shared" si="58"/>
        <v>1611.9999999999998</v>
      </c>
      <c r="U166" s="276"/>
      <c r="V166" s="249"/>
      <c r="W166" s="278">
        <f t="shared" si="49"/>
        <v>0</v>
      </c>
      <c r="X166" s="279"/>
      <c r="Y166" s="249"/>
    </row>
    <row r="167" spans="2:26" ht="18" customHeight="1">
      <c r="B167" s="266">
        <f t="shared" si="48"/>
        <v>124</v>
      </c>
      <c r="C167" s="301" t="s">
        <v>298</v>
      </c>
      <c r="D167" s="251" t="s">
        <v>299</v>
      </c>
      <c r="E167" s="252" t="s">
        <v>158</v>
      </c>
      <c r="F167" s="251">
        <v>1</v>
      </c>
      <c r="G167" s="303">
        <v>0</v>
      </c>
      <c r="H167" s="303">
        <v>8218.6200000000008</v>
      </c>
      <c r="I167" s="251"/>
      <c r="J167" s="272">
        <f t="shared" si="50"/>
        <v>8218.6200000000008</v>
      </c>
      <c r="K167" s="272">
        <f t="shared" si="51"/>
        <v>8218.6200000000008</v>
      </c>
      <c r="L167" s="273"/>
      <c r="M167" s="274">
        <f t="shared" si="52"/>
        <v>0</v>
      </c>
      <c r="N167" s="275"/>
      <c r="O167" s="276">
        <f t="shared" si="53"/>
        <v>0</v>
      </c>
      <c r="P167" s="273">
        <f t="shared" si="54"/>
        <v>0</v>
      </c>
      <c r="Q167" s="276">
        <f t="shared" si="55"/>
        <v>0</v>
      </c>
      <c r="R167" s="277">
        <f t="shared" si="56"/>
        <v>0</v>
      </c>
      <c r="S167" s="276">
        <f t="shared" si="57"/>
        <v>1</v>
      </c>
      <c r="T167" s="276">
        <f t="shared" si="58"/>
        <v>8218.6200000000008</v>
      </c>
      <c r="U167" s="276"/>
      <c r="V167" s="249"/>
      <c r="W167" s="278">
        <f t="shared" si="49"/>
        <v>0</v>
      </c>
      <c r="X167" s="279"/>
      <c r="Y167" s="249"/>
    </row>
    <row r="168" spans="2:26" ht="18" customHeight="1">
      <c r="B168" s="266">
        <f t="shared" si="48"/>
        <v>125</v>
      </c>
      <c r="C168" s="301"/>
      <c r="D168" s="251"/>
      <c r="E168" s="252"/>
      <c r="F168" s="251"/>
      <c r="G168" s="303"/>
      <c r="H168" s="303"/>
      <c r="I168" s="251"/>
      <c r="J168" s="272"/>
      <c r="K168" s="272"/>
      <c r="L168" s="273"/>
      <c r="M168" s="274"/>
      <c r="N168" s="275"/>
      <c r="O168" s="276"/>
      <c r="P168" s="273"/>
      <c r="Q168" s="276"/>
      <c r="R168" s="277"/>
      <c r="S168" s="276"/>
      <c r="T168" s="276"/>
      <c r="U168" s="276"/>
      <c r="V168" s="249"/>
      <c r="W168" s="278">
        <f t="shared" si="49"/>
        <v>0</v>
      </c>
      <c r="X168" s="279"/>
      <c r="Y168" s="249"/>
    </row>
    <row r="169" spans="2:26" s="304" customFormat="1" ht="18" customHeight="1">
      <c r="B169" s="281">
        <f t="shared" si="48"/>
        <v>126</v>
      </c>
      <c r="C169" s="305" t="s">
        <v>171</v>
      </c>
      <c r="D169" s="306"/>
      <c r="E169" s="307"/>
      <c r="F169" s="306"/>
      <c r="G169" s="308"/>
      <c r="H169" s="308"/>
      <c r="I169" s="306"/>
      <c r="J169" s="287"/>
      <c r="K169" s="309">
        <f>SUM(K123:K168)</f>
        <v>165781.76999999999</v>
      </c>
      <c r="L169" s="288"/>
      <c r="M169" s="309">
        <f>SUM(M165:M168)</f>
        <v>0</v>
      </c>
      <c r="N169" s="288"/>
      <c r="O169" s="287">
        <f>Q169-M169</f>
        <v>33385.211000000003</v>
      </c>
      <c r="P169" s="288"/>
      <c r="Q169" s="309">
        <f>SUM(Q123:Q168)</f>
        <v>33385.211000000003</v>
      </c>
      <c r="R169" s="289">
        <f>IFERROR(+Q169/K169,0)</f>
        <v>0.20138047144749394</v>
      </c>
      <c r="S169" s="290"/>
      <c r="T169" s="290">
        <f>SUM(T165:T168)</f>
        <v>10056.92</v>
      </c>
      <c r="U169" s="290"/>
      <c r="V169" s="249"/>
      <c r="W169" s="278">
        <f t="shared" si="49"/>
        <v>0</v>
      </c>
      <c r="X169" s="279"/>
      <c r="Y169" s="249"/>
      <c r="Z169" s="174"/>
    </row>
    <row r="170" spans="2:26" s="304" customFormat="1" ht="18" customHeight="1">
      <c r="B170" s="281">
        <f t="shared" si="48"/>
        <v>127</v>
      </c>
      <c r="C170" s="305" t="s">
        <v>328</v>
      </c>
      <c r="D170" s="306"/>
      <c r="E170" s="307"/>
      <c r="F170" s="306"/>
      <c r="G170" s="308"/>
      <c r="H170" s="308"/>
      <c r="I170" s="306"/>
      <c r="J170" s="287"/>
      <c r="K170" s="309">
        <f>K169+K121+K103+K89+K84+K74+K65+K56+K49</f>
        <v>744998.10000000009</v>
      </c>
      <c r="L170" s="288"/>
      <c r="M170" s="309">
        <f>M169+M121+M103+M89+M84+M74+M65+M56+M49</f>
        <v>0</v>
      </c>
      <c r="N170" s="288"/>
      <c r="O170" s="287">
        <f>O169+O121+O103+O89+O84+O74+O65+O56+O49</f>
        <v>132127.08300000001</v>
      </c>
      <c r="P170" s="288"/>
      <c r="Q170" s="309">
        <f>Q169+Q121+Q103+Q89+Q84+Q74+Q65+Q56+Q49</f>
        <v>132127.08300000001</v>
      </c>
      <c r="R170" s="289">
        <f>IFERROR(+Q170/K170,0)</f>
        <v>0.17735224156947513</v>
      </c>
      <c r="S170" s="290"/>
      <c r="T170" s="290">
        <f>T169+T121+T103+T89+T84+T74+T65+T56+T49</f>
        <v>339684.89</v>
      </c>
      <c r="U170" s="290"/>
      <c r="V170" s="249"/>
      <c r="W170" s="278">
        <f t="shared" si="49"/>
        <v>0</v>
      </c>
      <c r="X170" s="279"/>
      <c r="Y170" s="249"/>
      <c r="Z170" s="174"/>
    </row>
    <row r="171" spans="2:26" s="217" customFormat="1" ht="18" customHeight="1">
      <c r="B171" s="260">
        <f t="shared" si="48"/>
        <v>128</v>
      </c>
      <c r="C171" s="312" t="s">
        <v>159</v>
      </c>
      <c r="D171" s="310"/>
      <c r="E171" s="293"/>
      <c r="F171" s="310"/>
      <c r="G171" s="311"/>
      <c r="H171" s="311"/>
      <c r="I171" s="310"/>
      <c r="J171" s="295"/>
      <c r="K171" s="295"/>
      <c r="L171" s="299"/>
      <c r="M171" s="296"/>
      <c r="N171" s="297"/>
      <c r="O171" s="298"/>
      <c r="P171" s="299"/>
      <c r="Q171" s="298"/>
      <c r="R171" s="300"/>
      <c r="S171" s="298"/>
      <c r="T171" s="298"/>
      <c r="U171" s="298"/>
      <c r="V171" s="249"/>
      <c r="W171" s="278">
        <f t="shared" si="49"/>
        <v>0</v>
      </c>
      <c r="X171" s="279"/>
      <c r="Y171" s="249"/>
      <c r="Z171" s="174"/>
    </row>
    <row r="172" spans="2:26" s="217" customFormat="1" ht="18" customHeight="1">
      <c r="B172" s="260">
        <f t="shared" ref="B172:B235" si="59">B171+1</f>
        <v>129</v>
      </c>
      <c r="C172" s="291" t="s">
        <v>329</v>
      </c>
      <c r="D172" s="310"/>
      <c r="E172" s="293"/>
      <c r="F172" s="310"/>
      <c r="G172" s="311"/>
      <c r="H172" s="311"/>
      <c r="I172" s="310"/>
      <c r="J172" s="295"/>
      <c r="K172" s="295"/>
      <c r="L172" s="299"/>
      <c r="M172" s="296"/>
      <c r="N172" s="297"/>
      <c r="O172" s="298"/>
      <c r="P172" s="299"/>
      <c r="Q172" s="298"/>
      <c r="R172" s="300"/>
      <c r="S172" s="298"/>
      <c r="T172" s="298"/>
      <c r="U172" s="298"/>
      <c r="V172" s="249"/>
      <c r="W172" s="278">
        <f t="shared" si="49"/>
        <v>0</v>
      </c>
      <c r="X172" s="279"/>
      <c r="Y172" s="249"/>
      <c r="Z172" s="174"/>
    </row>
    <row r="173" spans="2:26" ht="18" customHeight="1">
      <c r="B173" s="266">
        <f t="shared" si="59"/>
        <v>130</v>
      </c>
      <c r="C173" s="301" t="s">
        <v>330</v>
      </c>
      <c r="D173" s="251"/>
      <c r="E173" s="252"/>
      <c r="F173" s="251"/>
      <c r="G173" s="303"/>
      <c r="H173" s="303"/>
      <c r="I173" s="251"/>
      <c r="J173" s="272">
        <f>I173+H173+G173</f>
        <v>0</v>
      </c>
      <c r="K173" s="272">
        <f>J173*F173</f>
        <v>0</v>
      </c>
      <c r="L173" s="273"/>
      <c r="M173" s="274">
        <f>L173*J173</f>
        <v>0</v>
      </c>
      <c r="N173" s="275"/>
      <c r="O173" s="276">
        <f>N173*J173</f>
        <v>0</v>
      </c>
      <c r="P173" s="273">
        <f>N173+L173</f>
        <v>0</v>
      </c>
      <c r="Q173" s="276">
        <f>P173*J173</f>
        <v>0</v>
      </c>
      <c r="R173" s="277">
        <f>IFERROR(Q173/K173,0)</f>
        <v>0</v>
      </c>
      <c r="S173" s="276">
        <f>F173-P173</f>
        <v>0</v>
      </c>
      <c r="T173" s="276">
        <f>K173-Q173</f>
        <v>0</v>
      </c>
      <c r="U173" s="276"/>
      <c r="V173" s="249"/>
      <c r="W173" s="278">
        <f t="shared" si="49"/>
        <v>0</v>
      </c>
      <c r="X173" s="279"/>
      <c r="Y173" s="249"/>
    </row>
    <row r="174" spans="2:26" ht="18" customHeight="1">
      <c r="B174" s="266">
        <f t="shared" si="59"/>
        <v>131</v>
      </c>
      <c r="C174" s="301" t="s">
        <v>331</v>
      </c>
      <c r="D174" s="251" t="s">
        <v>332</v>
      </c>
      <c r="E174" s="252" t="s">
        <v>234</v>
      </c>
      <c r="F174" s="251">
        <v>1</v>
      </c>
      <c r="G174" s="303">
        <v>0</v>
      </c>
      <c r="H174" s="303">
        <v>44319.55</v>
      </c>
      <c r="I174" s="251"/>
      <c r="J174" s="272">
        <f>I174+H174+G174</f>
        <v>44319.55</v>
      </c>
      <c r="K174" s="272">
        <f>J174*F174</f>
        <v>44319.55</v>
      </c>
      <c r="L174" s="273"/>
      <c r="M174" s="274">
        <f>L174*J174</f>
        <v>0</v>
      </c>
      <c r="N174" s="275"/>
      <c r="O174" s="276">
        <f>N174*J174</f>
        <v>0</v>
      </c>
      <c r="P174" s="273">
        <f>N174+L174</f>
        <v>0</v>
      </c>
      <c r="Q174" s="276">
        <f>P174*J174</f>
        <v>0</v>
      </c>
      <c r="R174" s="277">
        <f>IFERROR(Q174/K174,0)</f>
        <v>0</v>
      </c>
      <c r="S174" s="276">
        <f>F174-P174</f>
        <v>1</v>
      </c>
      <c r="T174" s="276">
        <f>K174-Q174</f>
        <v>44319.55</v>
      </c>
      <c r="U174" s="276"/>
      <c r="V174" s="249"/>
      <c r="W174" s="278">
        <f t="shared" si="49"/>
        <v>0</v>
      </c>
      <c r="X174" s="279"/>
      <c r="Y174" s="249"/>
    </row>
    <row r="175" spans="2:26" ht="18" customHeight="1">
      <c r="B175" s="266">
        <f t="shared" si="59"/>
        <v>132</v>
      </c>
      <c r="C175" s="301"/>
      <c r="D175" s="251"/>
      <c r="E175" s="252"/>
      <c r="F175" s="251"/>
      <c r="G175" s="303"/>
      <c r="H175" s="303"/>
      <c r="I175" s="251"/>
      <c r="J175" s="272"/>
      <c r="K175" s="272"/>
      <c r="L175" s="273"/>
      <c r="M175" s="274"/>
      <c r="N175" s="275"/>
      <c r="O175" s="276"/>
      <c r="P175" s="273"/>
      <c r="Q175" s="276"/>
      <c r="R175" s="277"/>
      <c r="S175" s="276"/>
      <c r="T175" s="276"/>
      <c r="U175" s="276"/>
      <c r="V175" s="249"/>
      <c r="W175" s="278">
        <f t="shared" si="49"/>
        <v>0</v>
      </c>
      <c r="X175" s="279"/>
      <c r="Y175" s="249"/>
    </row>
    <row r="176" spans="2:26" s="304" customFormat="1" ht="18" customHeight="1">
      <c r="B176" s="281">
        <f t="shared" si="59"/>
        <v>133</v>
      </c>
      <c r="C176" s="305" t="s">
        <v>171</v>
      </c>
      <c r="D176" s="306"/>
      <c r="E176" s="307"/>
      <c r="F176" s="306"/>
      <c r="G176" s="308"/>
      <c r="H176" s="308"/>
      <c r="I176" s="306"/>
      <c r="J176" s="287"/>
      <c r="K176" s="309">
        <f>SUM(K173:K175)</f>
        <v>44319.55</v>
      </c>
      <c r="L176" s="288"/>
      <c r="M176" s="309">
        <f>SUM(M173:M175)</f>
        <v>0</v>
      </c>
      <c r="N176" s="288"/>
      <c r="O176" s="287">
        <f>SUM(O173:O175)</f>
        <v>0</v>
      </c>
      <c r="P176" s="288"/>
      <c r="Q176" s="309">
        <f>SUM(Q173:Q175)</f>
        <v>0</v>
      </c>
      <c r="R176" s="289">
        <f>IFERROR(+Q176/K176,0)</f>
        <v>0</v>
      </c>
      <c r="S176" s="290"/>
      <c r="T176" s="290">
        <f>SUM(T173:T175)</f>
        <v>44319.55</v>
      </c>
      <c r="U176" s="290"/>
      <c r="V176" s="249"/>
      <c r="W176" s="278">
        <f t="shared" si="49"/>
        <v>0</v>
      </c>
      <c r="X176" s="279"/>
      <c r="Y176" s="249"/>
      <c r="Z176" s="174"/>
    </row>
    <row r="177" spans="2:26" s="217" customFormat="1" ht="18" customHeight="1">
      <c r="B177" s="260">
        <f t="shared" si="59"/>
        <v>134</v>
      </c>
      <c r="C177" s="291" t="s">
        <v>333</v>
      </c>
      <c r="D177" s="310"/>
      <c r="E177" s="293"/>
      <c r="F177" s="310"/>
      <c r="G177" s="311"/>
      <c r="H177" s="311"/>
      <c r="I177" s="310"/>
      <c r="J177" s="295"/>
      <c r="K177" s="295"/>
      <c r="L177" s="299"/>
      <c r="M177" s="296"/>
      <c r="N177" s="297"/>
      <c r="O177" s="298"/>
      <c r="P177" s="299"/>
      <c r="Q177" s="298"/>
      <c r="R177" s="300"/>
      <c r="S177" s="298"/>
      <c r="T177" s="298"/>
      <c r="U177" s="298"/>
      <c r="V177" s="249"/>
      <c r="W177" s="278">
        <f t="shared" ref="W177:W240" si="60">M177-V177</f>
        <v>0</v>
      </c>
      <c r="X177" s="279"/>
      <c r="Y177" s="249"/>
      <c r="Z177" s="174"/>
    </row>
    <row r="178" spans="2:26" ht="18" customHeight="1">
      <c r="B178" s="266">
        <f t="shared" si="59"/>
        <v>135</v>
      </c>
      <c r="C178" s="301" t="s">
        <v>334</v>
      </c>
      <c r="D178" s="251" t="s">
        <v>335</v>
      </c>
      <c r="E178" s="252" t="s">
        <v>234</v>
      </c>
      <c r="F178" s="251">
        <v>1</v>
      </c>
      <c r="G178" s="303">
        <v>0</v>
      </c>
      <c r="H178" s="303">
        <v>2645.5</v>
      </c>
      <c r="I178" s="251"/>
      <c r="J178" s="272">
        <f t="shared" ref="J178:J193" si="61">I178+H178+G178</f>
        <v>2645.5</v>
      </c>
      <c r="K178" s="272">
        <f t="shared" ref="K178:K193" si="62">J178*F178</f>
        <v>2645.5</v>
      </c>
      <c r="L178" s="273"/>
      <c r="M178" s="274">
        <f t="shared" ref="M178:M193" si="63">L178*J178</f>
        <v>0</v>
      </c>
      <c r="N178" s="275"/>
      <c r="O178" s="276">
        <f t="shared" ref="O178:O193" si="64">N178*J178</f>
        <v>0</v>
      </c>
      <c r="P178" s="273">
        <f t="shared" ref="P178:P193" si="65">N178+L178</f>
        <v>0</v>
      </c>
      <c r="Q178" s="276">
        <f t="shared" ref="Q178:Q193" si="66">P178*J178</f>
        <v>0</v>
      </c>
      <c r="R178" s="277">
        <f t="shared" ref="R178:R193" si="67">IFERROR(Q178/K178,0)</f>
        <v>0</v>
      </c>
      <c r="S178" s="276">
        <f t="shared" ref="S178:S193" si="68">F178-P178</f>
        <v>1</v>
      </c>
      <c r="T178" s="276">
        <f t="shared" ref="T178:T193" si="69">K178-Q178</f>
        <v>2645.5</v>
      </c>
      <c r="U178" s="276"/>
      <c r="V178" s="249"/>
      <c r="W178" s="278">
        <f t="shared" si="60"/>
        <v>0</v>
      </c>
      <c r="X178" s="279"/>
      <c r="Y178" s="249"/>
    </row>
    <row r="179" spans="2:26" ht="18" customHeight="1">
      <c r="B179" s="266">
        <f t="shared" si="59"/>
        <v>136</v>
      </c>
      <c r="C179" s="301" t="s">
        <v>336</v>
      </c>
      <c r="D179" s="251" t="s">
        <v>335</v>
      </c>
      <c r="E179" s="252" t="s">
        <v>234</v>
      </c>
      <c r="F179" s="251">
        <v>1</v>
      </c>
      <c r="G179" s="303">
        <v>0</v>
      </c>
      <c r="H179" s="303">
        <v>2645.5</v>
      </c>
      <c r="I179" s="251"/>
      <c r="J179" s="272">
        <f t="shared" si="61"/>
        <v>2645.5</v>
      </c>
      <c r="K179" s="272">
        <f t="shared" si="62"/>
        <v>2645.5</v>
      </c>
      <c r="L179" s="273"/>
      <c r="M179" s="274">
        <f t="shared" si="63"/>
        <v>0</v>
      </c>
      <c r="N179" s="275"/>
      <c r="O179" s="276">
        <f t="shared" si="64"/>
        <v>0</v>
      </c>
      <c r="P179" s="273">
        <f t="shared" si="65"/>
        <v>0</v>
      </c>
      <c r="Q179" s="276">
        <f t="shared" si="66"/>
        <v>0</v>
      </c>
      <c r="R179" s="277">
        <f t="shared" si="67"/>
        <v>0</v>
      </c>
      <c r="S179" s="276">
        <f t="shared" si="68"/>
        <v>1</v>
      </c>
      <c r="T179" s="276">
        <f t="shared" si="69"/>
        <v>2645.5</v>
      </c>
      <c r="U179" s="276"/>
      <c r="V179" s="249"/>
      <c r="W179" s="278">
        <f t="shared" si="60"/>
        <v>0</v>
      </c>
      <c r="X179" s="279"/>
      <c r="Y179" s="249"/>
    </row>
    <row r="180" spans="2:26" ht="18" customHeight="1">
      <c r="B180" s="266">
        <f t="shared" si="59"/>
        <v>137</v>
      </c>
      <c r="C180" s="301" t="s">
        <v>337</v>
      </c>
      <c r="D180" s="251" t="s">
        <v>338</v>
      </c>
      <c r="E180" s="252" t="s">
        <v>234</v>
      </c>
      <c r="F180" s="251">
        <v>1</v>
      </c>
      <c r="G180" s="303">
        <v>0</v>
      </c>
      <c r="H180" s="303">
        <v>1322.75</v>
      </c>
      <c r="I180" s="251"/>
      <c r="J180" s="272">
        <f t="shared" si="61"/>
        <v>1322.75</v>
      </c>
      <c r="K180" s="272">
        <f t="shared" si="62"/>
        <v>1322.75</v>
      </c>
      <c r="L180" s="273"/>
      <c r="M180" s="274">
        <f t="shared" si="63"/>
        <v>0</v>
      </c>
      <c r="N180" s="275"/>
      <c r="O180" s="276">
        <f t="shared" si="64"/>
        <v>0</v>
      </c>
      <c r="P180" s="273">
        <f t="shared" si="65"/>
        <v>0</v>
      </c>
      <c r="Q180" s="276">
        <f t="shared" si="66"/>
        <v>0</v>
      </c>
      <c r="R180" s="277">
        <f t="shared" si="67"/>
        <v>0</v>
      </c>
      <c r="S180" s="276">
        <f t="shared" si="68"/>
        <v>1</v>
      </c>
      <c r="T180" s="276">
        <f t="shared" si="69"/>
        <v>1322.75</v>
      </c>
      <c r="U180" s="276"/>
      <c r="V180" s="249"/>
      <c r="W180" s="278">
        <f t="shared" si="60"/>
        <v>0</v>
      </c>
      <c r="X180" s="279"/>
      <c r="Y180" s="249"/>
    </row>
    <row r="181" spans="2:26" ht="18" customHeight="1">
      <c r="B181" s="266">
        <f t="shared" si="59"/>
        <v>138</v>
      </c>
      <c r="C181" s="301" t="s">
        <v>339</v>
      </c>
      <c r="D181" s="251" t="s">
        <v>340</v>
      </c>
      <c r="E181" s="252" t="s">
        <v>234</v>
      </c>
      <c r="F181" s="251">
        <v>1</v>
      </c>
      <c r="G181" s="303">
        <v>0</v>
      </c>
      <c r="H181" s="303">
        <v>1322.75</v>
      </c>
      <c r="I181" s="251"/>
      <c r="J181" s="272">
        <f t="shared" si="61"/>
        <v>1322.75</v>
      </c>
      <c r="K181" s="272">
        <f t="shared" si="62"/>
        <v>1322.75</v>
      </c>
      <c r="L181" s="273"/>
      <c r="M181" s="274">
        <f t="shared" si="63"/>
        <v>0</v>
      </c>
      <c r="N181" s="275"/>
      <c r="O181" s="276">
        <f t="shared" si="64"/>
        <v>0</v>
      </c>
      <c r="P181" s="273">
        <f t="shared" si="65"/>
        <v>0</v>
      </c>
      <c r="Q181" s="276">
        <f t="shared" si="66"/>
        <v>0</v>
      </c>
      <c r="R181" s="277">
        <f t="shared" si="67"/>
        <v>0</v>
      </c>
      <c r="S181" s="276">
        <f t="shared" si="68"/>
        <v>1</v>
      </c>
      <c r="T181" s="276">
        <f t="shared" si="69"/>
        <v>1322.75</v>
      </c>
      <c r="U181" s="276"/>
      <c r="V181" s="249"/>
      <c r="W181" s="278">
        <f t="shared" si="60"/>
        <v>0</v>
      </c>
      <c r="X181" s="279"/>
      <c r="Y181" s="249"/>
    </row>
    <row r="182" spans="2:26" ht="18" customHeight="1">
      <c r="B182" s="266">
        <f t="shared" si="59"/>
        <v>139</v>
      </c>
      <c r="C182" s="301" t="s">
        <v>341</v>
      </c>
      <c r="D182" s="251" t="s">
        <v>342</v>
      </c>
      <c r="E182" s="252" t="s">
        <v>234</v>
      </c>
      <c r="F182" s="251">
        <v>1</v>
      </c>
      <c r="G182" s="303">
        <v>0</v>
      </c>
      <c r="H182" s="303">
        <v>1322.75</v>
      </c>
      <c r="I182" s="251"/>
      <c r="J182" s="272">
        <f t="shared" si="61"/>
        <v>1322.75</v>
      </c>
      <c r="K182" s="272">
        <f t="shared" si="62"/>
        <v>1322.75</v>
      </c>
      <c r="L182" s="273"/>
      <c r="M182" s="274">
        <f t="shared" si="63"/>
        <v>0</v>
      </c>
      <c r="N182" s="275"/>
      <c r="O182" s="276">
        <f t="shared" si="64"/>
        <v>0</v>
      </c>
      <c r="P182" s="273">
        <f t="shared" si="65"/>
        <v>0</v>
      </c>
      <c r="Q182" s="276">
        <f t="shared" si="66"/>
        <v>0</v>
      </c>
      <c r="R182" s="277">
        <f t="shared" si="67"/>
        <v>0</v>
      </c>
      <c r="S182" s="276">
        <f t="shared" si="68"/>
        <v>1</v>
      </c>
      <c r="T182" s="276">
        <f t="shared" si="69"/>
        <v>1322.75</v>
      </c>
      <c r="U182" s="276"/>
      <c r="V182" s="249"/>
      <c r="W182" s="278">
        <f t="shared" si="60"/>
        <v>0</v>
      </c>
      <c r="X182" s="279"/>
      <c r="Y182" s="249"/>
    </row>
    <row r="183" spans="2:26" ht="18" customHeight="1">
      <c r="B183" s="266">
        <f t="shared" si="59"/>
        <v>140</v>
      </c>
      <c r="C183" s="301" t="s">
        <v>343</v>
      </c>
      <c r="D183" s="251" t="s">
        <v>344</v>
      </c>
      <c r="E183" s="252" t="s">
        <v>234</v>
      </c>
      <c r="F183" s="251">
        <v>1</v>
      </c>
      <c r="G183" s="303">
        <v>0</v>
      </c>
      <c r="H183" s="303">
        <v>1322.75</v>
      </c>
      <c r="I183" s="251"/>
      <c r="J183" s="272">
        <f t="shared" si="61"/>
        <v>1322.75</v>
      </c>
      <c r="K183" s="272">
        <f t="shared" si="62"/>
        <v>1322.75</v>
      </c>
      <c r="L183" s="273"/>
      <c r="M183" s="274">
        <f t="shared" si="63"/>
        <v>0</v>
      </c>
      <c r="N183" s="275"/>
      <c r="O183" s="276">
        <f t="shared" si="64"/>
        <v>0</v>
      </c>
      <c r="P183" s="273">
        <f t="shared" si="65"/>
        <v>0</v>
      </c>
      <c r="Q183" s="276">
        <f t="shared" si="66"/>
        <v>0</v>
      </c>
      <c r="R183" s="277">
        <f t="shared" si="67"/>
        <v>0</v>
      </c>
      <c r="S183" s="276">
        <f t="shared" si="68"/>
        <v>1</v>
      </c>
      <c r="T183" s="276">
        <f t="shared" si="69"/>
        <v>1322.75</v>
      </c>
      <c r="U183" s="276"/>
      <c r="V183" s="249"/>
      <c r="W183" s="278">
        <f t="shared" si="60"/>
        <v>0</v>
      </c>
      <c r="X183" s="279"/>
      <c r="Y183" s="249"/>
    </row>
    <row r="184" spans="2:26" ht="18" customHeight="1">
      <c r="B184" s="266">
        <f t="shared" si="59"/>
        <v>141</v>
      </c>
      <c r="C184" s="301" t="s">
        <v>345</v>
      </c>
      <c r="D184" s="251" t="s">
        <v>346</v>
      </c>
      <c r="E184" s="252" t="s">
        <v>234</v>
      </c>
      <c r="F184" s="251">
        <v>1</v>
      </c>
      <c r="G184" s="303">
        <v>0</v>
      </c>
      <c r="H184" s="303">
        <v>2645.5</v>
      </c>
      <c r="I184" s="251"/>
      <c r="J184" s="272">
        <f t="shared" si="61"/>
        <v>2645.5</v>
      </c>
      <c r="K184" s="272">
        <f t="shared" si="62"/>
        <v>2645.5</v>
      </c>
      <c r="L184" s="273"/>
      <c r="M184" s="274">
        <f t="shared" si="63"/>
        <v>0</v>
      </c>
      <c r="N184" s="275"/>
      <c r="O184" s="276">
        <f t="shared" si="64"/>
        <v>0</v>
      </c>
      <c r="P184" s="273">
        <f t="shared" si="65"/>
        <v>0</v>
      </c>
      <c r="Q184" s="276">
        <f t="shared" si="66"/>
        <v>0</v>
      </c>
      <c r="R184" s="277">
        <f t="shared" si="67"/>
        <v>0</v>
      </c>
      <c r="S184" s="276">
        <f t="shared" si="68"/>
        <v>1</v>
      </c>
      <c r="T184" s="276">
        <f t="shared" si="69"/>
        <v>2645.5</v>
      </c>
      <c r="U184" s="276"/>
      <c r="V184" s="249"/>
      <c r="W184" s="278">
        <f t="shared" si="60"/>
        <v>0</v>
      </c>
      <c r="X184" s="279"/>
      <c r="Y184" s="249"/>
    </row>
    <row r="185" spans="2:26" ht="18" customHeight="1">
      <c r="B185" s="266">
        <f t="shared" si="59"/>
        <v>142</v>
      </c>
      <c r="C185" s="301" t="s">
        <v>347</v>
      </c>
      <c r="D185" s="251" t="s">
        <v>348</v>
      </c>
      <c r="E185" s="252" t="s">
        <v>234</v>
      </c>
      <c r="F185" s="251">
        <v>1</v>
      </c>
      <c r="G185" s="303">
        <v>0</v>
      </c>
      <c r="H185" s="303">
        <v>2645.5</v>
      </c>
      <c r="I185" s="251"/>
      <c r="J185" s="272">
        <f t="shared" si="61"/>
        <v>2645.5</v>
      </c>
      <c r="K185" s="272">
        <f t="shared" si="62"/>
        <v>2645.5</v>
      </c>
      <c r="L185" s="273"/>
      <c r="M185" s="274">
        <f t="shared" si="63"/>
        <v>0</v>
      </c>
      <c r="N185" s="275"/>
      <c r="O185" s="276">
        <f t="shared" si="64"/>
        <v>0</v>
      </c>
      <c r="P185" s="273">
        <f t="shared" si="65"/>
        <v>0</v>
      </c>
      <c r="Q185" s="276">
        <f t="shared" si="66"/>
        <v>0</v>
      </c>
      <c r="R185" s="277">
        <f t="shared" si="67"/>
        <v>0</v>
      </c>
      <c r="S185" s="276">
        <f t="shared" si="68"/>
        <v>1</v>
      </c>
      <c r="T185" s="276">
        <f t="shared" si="69"/>
        <v>2645.5</v>
      </c>
      <c r="U185" s="276"/>
      <c r="V185" s="249"/>
      <c r="W185" s="278">
        <f t="shared" si="60"/>
        <v>0</v>
      </c>
      <c r="X185" s="279"/>
      <c r="Y185" s="249"/>
    </row>
    <row r="186" spans="2:26" ht="18" customHeight="1">
      <c r="B186" s="266">
        <f t="shared" si="59"/>
        <v>143</v>
      </c>
      <c r="C186" s="301" t="s">
        <v>349</v>
      </c>
      <c r="D186" s="251" t="s">
        <v>348</v>
      </c>
      <c r="E186" s="252" t="s">
        <v>234</v>
      </c>
      <c r="F186" s="251">
        <v>1</v>
      </c>
      <c r="G186" s="303">
        <v>0</v>
      </c>
      <c r="H186" s="303">
        <v>2645.5</v>
      </c>
      <c r="I186" s="251"/>
      <c r="J186" s="272">
        <f t="shared" si="61"/>
        <v>2645.5</v>
      </c>
      <c r="K186" s="272">
        <f t="shared" si="62"/>
        <v>2645.5</v>
      </c>
      <c r="L186" s="273"/>
      <c r="M186" s="274">
        <f t="shared" si="63"/>
        <v>0</v>
      </c>
      <c r="N186" s="275"/>
      <c r="O186" s="276">
        <f t="shared" si="64"/>
        <v>0</v>
      </c>
      <c r="P186" s="273">
        <f t="shared" si="65"/>
        <v>0</v>
      </c>
      <c r="Q186" s="276">
        <f t="shared" si="66"/>
        <v>0</v>
      </c>
      <c r="R186" s="277">
        <f t="shared" si="67"/>
        <v>0</v>
      </c>
      <c r="S186" s="276">
        <f t="shared" si="68"/>
        <v>1</v>
      </c>
      <c r="T186" s="276">
        <f t="shared" si="69"/>
        <v>2645.5</v>
      </c>
      <c r="U186" s="276"/>
      <c r="V186" s="249"/>
      <c r="W186" s="278">
        <f t="shared" si="60"/>
        <v>0</v>
      </c>
      <c r="X186" s="279"/>
      <c r="Y186" s="249"/>
    </row>
    <row r="187" spans="2:26" ht="18" customHeight="1">
      <c r="B187" s="266">
        <f t="shared" si="59"/>
        <v>144</v>
      </c>
      <c r="C187" s="301" t="s">
        <v>350</v>
      </c>
      <c r="D187" s="251" t="s">
        <v>351</v>
      </c>
      <c r="E187" s="252" t="s">
        <v>234</v>
      </c>
      <c r="F187" s="251">
        <v>1</v>
      </c>
      <c r="G187" s="303">
        <v>0</v>
      </c>
      <c r="H187" s="303">
        <v>2645.5</v>
      </c>
      <c r="I187" s="251"/>
      <c r="J187" s="272">
        <f t="shared" si="61"/>
        <v>2645.5</v>
      </c>
      <c r="K187" s="272">
        <f t="shared" si="62"/>
        <v>2645.5</v>
      </c>
      <c r="L187" s="273"/>
      <c r="M187" s="274">
        <f t="shared" si="63"/>
        <v>0</v>
      </c>
      <c r="N187" s="275"/>
      <c r="O187" s="276">
        <f t="shared" si="64"/>
        <v>0</v>
      </c>
      <c r="P187" s="273">
        <f t="shared" si="65"/>
        <v>0</v>
      </c>
      <c r="Q187" s="276">
        <f t="shared" si="66"/>
        <v>0</v>
      </c>
      <c r="R187" s="277">
        <f t="shared" si="67"/>
        <v>0</v>
      </c>
      <c r="S187" s="276">
        <f t="shared" si="68"/>
        <v>1</v>
      </c>
      <c r="T187" s="276">
        <f t="shared" si="69"/>
        <v>2645.5</v>
      </c>
      <c r="U187" s="276"/>
      <c r="V187" s="249"/>
      <c r="W187" s="278">
        <f t="shared" si="60"/>
        <v>0</v>
      </c>
      <c r="X187" s="279"/>
      <c r="Y187" s="249"/>
    </row>
    <row r="188" spans="2:26" ht="18" customHeight="1">
      <c r="B188" s="266">
        <f t="shared" si="59"/>
        <v>145</v>
      </c>
      <c r="C188" s="301" t="s">
        <v>352</v>
      </c>
      <c r="D188" s="251" t="s">
        <v>338</v>
      </c>
      <c r="E188" s="252" t="s">
        <v>234</v>
      </c>
      <c r="F188" s="251">
        <v>1</v>
      </c>
      <c r="G188" s="303">
        <v>0</v>
      </c>
      <c r="H188" s="303">
        <v>1322.75</v>
      </c>
      <c r="I188" s="251"/>
      <c r="J188" s="272">
        <f t="shared" si="61"/>
        <v>1322.75</v>
      </c>
      <c r="K188" s="272">
        <f t="shared" si="62"/>
        <v>1322.75</v>
      </c>
      <c r="L188" s="273"/>
      <c r="M188" s="274">
        <f t="shared" si="63"/>
        <v>0</v>
      </c>
      <c r="N188" s="275"/>
      <c r="O188" s="276">
        <f t="shared" si="64"/>
        <v>0</v>
      </c>
      <c r="P188" s="273">
        <f t="shared" si="65"/>
        <v>0</v>
      </c>
      <c r="Q188" s="276">
        <f t="shared" si="66"/>
        <v>0</v>
      </c>
      <c r="R188" s="277">
        <f t="shared" si="67"/>
        <v>0</v>
      </c>
      <c r="S188" s="276">
        <f t="shared" si="68"/>
        <v>1</v>
      </c>
      <c r="T188" s="276">
        <f t="shared" si="69"/>
        <v>1322.75</v>
      </c>
      <c r="U188" s="276"/>
      <c r="V188" s="249"/>
      <c r="W188" s="278">
        <f t="shared" si="60"/>
        <v>0</v>
      </c>
      <c r="X188" s="279"/>
      <c r="Y188" s="249"/>
    </row>
    <row r="189" spans="2:26" ht="18" customHeight="1">
      <c r="B189" s="266">
        <f t="shared" si="59"/>
        <v>146</v>
      </c>
      <c r="C189" s="301" t="s">
        <v>353</v>
      </c>
      <c r="D189" s="251" t="s">
        <v>338</v>
      </c>
      <c r="E189" s="252" t="s">
        <v>234</v>
      </c>
      <c r="F189" s="251">
        <v>1</v>
      </c>
      <c r="G189" s="303">
        <v>0</v>
      </c>
      <c r="H189" s="303">
        <v>1322.75</v>
      </c>
      <c r="I189" s="251"/>
      <c r="J189" s="272">
        <f t="shared" si="61"/>
        <v>1322.75</v>
      </c>
      <c r="K189" s="272">
        <f t="shared" si="62"/>
        <v>1322.75</v>
      </c>
      <c r="L189" s="273"/>
      <c r="M189" s="274">
        <f t="shared" si="63"/>
        <v>0</v>
      </c>
      <c r="N189" s="275"/>
      <c r="O189" s="276">
        <f t="shared" si="64"/>
        <v>0</v>
      </c>
      <c r="P189" s="273">
        <f t="shared" si="65"/>
        <v>0</v>
      </c>
      <c r="Q189" s="276">
        <f t="shared" si="66"/>
        <v>0</v>
      </c>
      <c r="R189" s="277">
        <f t="shared" si="67"/>
        <v>0</v>
      </c>
      <c r="S189" s="276">
        <f t="shared" si="68"/>
        <v>1</v>
      </c>
      <c r="T189" s="276">
        <f t="shared" si="69"/>
        <v>1322.75</v>
      </c>
      <c r="U189" s="276"/>
      <c r="V189" s="249"/>
      <c r="W189" s="278">
        <f t="shared" si="60"/>
        <v>0</v>
      </c>
      <c r="X189" s="279"/>
      <c r="Y189" s="249"/>
    </row>
    <row r="190" spans="2:26" ht="18" customHeight="1">
      <c r="B190" s="266">
        <f t="shared" si="59"/>
        <v>147</v>
      </c>
      <c r="C190" s="301" t="s">
        <v>354</v>
      </c>
      <c r="D190" s="251" t="s">
        <v>355</v>
      </c>
      <c r="E190" s="252" t="s">
        <v>234</v>
      </c>
      <c r="F190" s="251">
        <v>1</v>
      </c>
      <c r="G190" s="303">
        <v>0</v>
      </c>
      <c r="H190" s="303">
        <v>3174.6</v>
      </c>
      <c r="I190" s="251"/>
      <c r="J190" s="272">
        <f t="shared" si="61"/>
        <v>3174.6</v>
      </c>
      <c r="K190" s="272">
        <f t="shared" si="62"/>
        <v>3174.6</v>
      </c>
      <c r="L190" s="273"/>
      <c r="M190" s="274">
        <f t="shared" si="63"/>
        <v>0</v>
      </c>
      <c r="N190" s="275"/>
      <c r="O190" s="276">
        <f t="shared" si="64"/>
        <v>0</v>
      </c>
      <c r="P190" s="273">
        <f t="shared" si="65"/>
        <v>0</v>
      </c>
      <c r="Q190" s="276">
        <f t="shared" si="66"/>
        <v>0</v>
      </c>
      <c r="R190" s="277">
        <f t="shared" si="67"/>
        <v>0</v>
      </c>
      <c r="S190" s="276">
        <f t="shared" si="68"/>
        <v>1</v>
      </c>
      <c r="T190" s="276">
        <f t="shared" si="69"/>
        <v>3174.6</v>
      </c>
      <c r="U190" s="276"/>
      <c r="V190" s="249"/>
      <c r="W190" s="278">
        <f t="shared" si="60"/>
        <v>0</v>
      </c>
      <c r="X190" s="279"/>
      <c r="Y190" s="249"/>
    </row>
    <row r="191" spans="2:26" ht="18" customHeight="1">
      <c r="B191" s="266">
        <f t="shared" si="59"/>
        <v>148</v>
      </c>
      <c r="C191" s="301" t="s">
        <v>356</v>
      </c>
      <c r="D191" s="251" t="s">
        <v>357</v>
      </c>
      <c r="E191" s="252" t="s">
        <v>234</v>
      </c>
      <c r="F191" s="251">
        <v>1</v>
      </c>
      <c r="G191" s="303">
        <v>0</v>
      </c>
      <c r="H191" s="303">
        <v>3174.6</v>
      </c>
      <c r="I191" s="251"/>
      <c r="J191" s="272">
        <f t="shared" si="61"/>
        <v>3174.6</v>
      </c>
      <c r="K191" s="272">
        <f t="shared" si="62"/>
        <v>3174.6</v>
      </c>
      <c r="L191" s="273"/>
      <c r="M191" s="274">
        <f t="shared" si="63"/>
        <v>0</v>
      </c>
      <c r="N191" s="275"/>
      <c r="O191" s="276">
        <f t="shared" si="64"/>
        <v>0</v>
      </c>
      <c r="P191" s="273">
        <f t="shared" si="65"/>
        <v>0</v>
      </c>
      <c r="Q191" s="276">
        <f t="shared" si="66"/>
        <v>0</v>
      </c>
      <c r="R191" s="277">
        <f t="shared" si="67"/>
        <v>0</v>
      </c>
      <c r="S191" s="276">
        <f t="shared" si="68"/>
        <v>1</v>
      </c>
      <c r="T191" s="276">
        <f t="shared" si="69"/>
        <v>3174.6</v>
      </c>
      <c r="U191" s="276"/>
      <c r="V191" s="249"/>
      <c r="W191" s="278">
        <f t="shared" si="60"/>
        <v>0</v>
      </c>
      <c r="X191" s="279"/>
      <c r="Y191" s="249"/>
    </row>
    <row r="192" spans="2:26" ht="18" customHeight="1">
      <c r="B192" s="266">
        <f t="shared" si="59"/>
        <v>149</v>
      </c>
      <c r="C192" s="301" t="s">
        <v>358</v>
      </c>
      <c r="D192" s="251" t="s">
        <v>359</v>
      </c>
      <c r="E192" s="252" t="s">
        <v>234</v>
      </c>
      <c r="F192" s="251">
        <v>1</v>
      </c>
      <c r="G192" s="303">
        <v>0</v>
      </c>
      <c r="H192" s="303">
        <v>793.64</v>
      </c>
      <c r="I192" s="251"/>
      <c r="J192" s="272">
        <f t="shared" si="61"/>
        <v>793.64</v>
      </c>
      <c r="K192" s="272">
        <f t="shared" si="62"/>
        <v>793.64</v>
      </c>
      <c r="L192" s="273"/>
      <c r="M192" s="274">
        <f t="shared" si="63"/>
        <v>0</v>
      </c>
      <c r="N192" s="275"/>
      <c r="O192" s="276">
        <f t="shared" si="64"/>
        <v>0</v>
      </c>
      <c r="P192" s="273">
        <f t="shared" si="65"/>
        <v>0</v>
      </c>
      <c r="Q192" s="276">
        <f t="shared" si="66"/>
        <v>0</v>
      </c>
      <c r="R192" s="277">
        <f t="shared" si="67"/>
        <v>0</v>
      </c>
      <c r="S192" s="276">
        <f t="shared" si="68"/>
        <v>1</v>
      </c>
      <c r="T192" s="276">
        <f t="shared" si="69"/>
        <v>793.64</v>
      </c>
      <c r="U192" s="276"/>
      <c r="V192" s="249"/>
      <c r="W192" s="278">
        <f t="shared" si="60"/>
        <v>0</v>
      </c>
      <c r="X192" s="279"/>
      <c r="Y192" s="249"/>
    </row>
    <row r="193" spans="2:26" ht="18" customHeight="1">
      <c r="B193" s="266">
        <f t="shared" si="59"/>
        <v>150</v>
      </c>
      <c r="C193" s="301" t="s">
        <v>360</v>
      </c>
      <c r="D193" s="251" t="s">
        <v>361</v>
      </c>
      <c r="E193" s="252" t="s">
        <v>234</v>
      </c>
      <c r="F193" s="251">
        <v>1</v>
      </c>
      <c r="G193" s="303">
        <v>0</v>
      </c>
      <c r="H193" s="303">
        <v>793.64</v>
      </c>
      <c r="I193" s="251"/>
      <c r="J193" s="272">
        <f t="shared" si="61"/>
        <v>793.64</v>
      </c>
      <c r="K193" s="272">
        <f t="shared" si="62"/>
        <v>793.64</v>
      </c>
      <c r="L193" s="273"/>
      <c r="M193" s="274">
        <f t="shared" si="63"/>
        <v>0</v>
      </c>
      <c r="N193" s="275"/>
      <c r="O193" s="276">
        <f t="shared" si="64"/>
        <v>0</v>
      </c>
      <c r="P193" s="273">
        <f t="shared" si="65"/>
        <v>0</v>
      </c>
      <c r="Q193" s="276">
        <f t="shared" si="66"/>
        <v>0</v>
      </c>
      <c r="R193" s="277">
        <f t="shared" si="67"/>
        <v>0</v>
      </c>
      <c r="S193" s="276">
        <f t="shared" si="68"/>
        <v>1</v>
      </c>
      <c r="T193" s="276">
        <f t="shared" si="69"/>
        <v>793.64</v>
      </c>
      <c r="U193" s="276"/>
      <c r="V193" s="249"/>
      <c r="W193" s="278">
        <f t="shared" si="60"/>
        <v>0</v>
      </c>
      <c r="X193" s="279"/>
      <c r="Y193" s="249"/>
    </row>
    <row r="194" spans="2:26" ht="18" customHeight="1">
      <c r="B194" s="266">
        <f t="shared" si="59"/>
        <v>151</v>
      </c>
      <c r="C194" s="301"/>
      <c r="D194" s="251"/>
      <c r="E194" s="252"/>
      <c r="F194" s="251"/>
      <c r="G194" s="303"/>
      <c r="H194" s="303"/>
      <c r="I194" s="251"/>
      <c r="J194" s="272"/>
      <c r="K194" s="272"/>
      <c r="L194" s="273"/>
      <c r="M194" s="274"/>
      <c r="N194" s="275"/>
      <c r="O194" s="276"/>
      <c r="P194" s="273"/>
      <c r="Q194" s="276"/>
      <c r="R194" s="277"/>
      <c r="S194" s="276"/>
      <c r="T194" s="276"/>
      <c r="U194" s="276"/>
      <c r="V194" s="249"/>
      <c r="W194" s="278">
        <f t="shared" si="60"/>
        <v>0</v>
      </c>
      <c r="X194" s="279"/>
      <c r="Y194" s="249"/>
    </row>
    <row r="195" spans="2:26" s="304" customFormat="1" ht="18" customHeight="1">
      <c r="B195" s="281">
        <f t="shared" si="59"/>
        <v>152</v>
      </c>
      <c r="C195" s="305" t="s">
        <v>171</v>
      </c>
      <c r="D195" s="306"/>
      <c r="E195" s="307"/>
      <c r="F195" s="306"/>
      <c r="G195" s="308"/>
      <c r="H195" s="308"/>
      <c r="I195" s="306"/>
      <c r="J195" s="287"/>
      <c r="K195" s="309">
        <f>SUM(K178:K194)</f>
        <v>31745.979999999996</v>
      </c>
      <c r="L195" s="288"/>
      <c r="M195" s="309">
        <f>SUM(M178:M194)</f>
        <v>0</v>
      </c>
      <c r="N195" s="288"/>
      <c r="O195" s="287">
        <f>SUM(O178:O194)</f>
        <v>0</v>
      </c>
      <c r="P195" s="288"/>
      <c r="Q195" s="309">
        <f>SUM(Q178:Q194)</f>
        <v>0</v>
      </c>
      <c r="R195" s="289">
        <f>IFERROR(+Q195/K195,0)</f>
        <v>0</v>
      </c>
      <c r="S195" s="290"/>
      <c r="T195" s="290">
        <f>SUM(T178:T194)</f>
        <v>31745.979999999996</v>
      </c>
      <c r="U195" s="290"/>
      <c r="V195" s="249"/>
      <c r="W195" s="278">
        <f t="shared" si="60"/>
        <v>0</v>
      </c>
      <c r="X195" s="279"/>
      <c r="Y195" s="249"/>
      <c r="Z195" s="174"/>
    </row>
    <row r="196" spans="2:26" s="217" customFormat="1" ht="18" customHeight="1">
      <c r="B196" s="260">
        <f t="shared" si="59"/>
        <v>153</v>
      </c>
      <c r="C196" s="291" t="s">
        <v>362</v>
      </c>
      <c r="D196" s="310"/>
      <c r="E196" s="293"/>
      <c r="F196" s="310"/>
      <c r="G196" s="311"/>
      <c r="H196" s="311"/>
      <c r="I196" s="310"/>
      <c r="J196" s="295"/>
      <c r="K196" s="295"/>
      <c r="L196" s="299"/>
      <c r="M196" s="296"/>
      <c r="N196" s="297"/>
      <c r="O196" s="298"/>
      <c r="P196" s="299"/>
      <c r="Q196" s="298"/>
      <c r="R196" s="300"/>
      <c r="S196" s="298"/>
      <c r="T196" s="298"/>
      <c r="U196" s="298"/>
      <c r="V196" s="249"/>
      <c r="W196" s="278">
        <f t="shared" si="60"/>
        <v>0</v>
      </c>
      <c r="X196" s="279"/>
      <c r="Y196" s="249"/>
      <c r="Z196" s="174"/>
    </row>
    <row r="197" spans="2:26" ht="18" customHeight="1">
      <c r="B197" s="266">
        <f t="shared" si="59"/>
        <v>154</v>
      </c>
      <c r="C197" s="301" t="s">
        <v>363</v>
      </c>
      <c r="D197" s="251" t="s">
        <v>364</v>
      </c>
      <c r="E197" s="252" t="s">
        <v>365</v>
      </c>
      <c r="F197" s="251">
        <v>45.88</v>
      </c>
      <c r="G197" s="303">
        <v>0</v>
      </c>
      <c r="H197" s="303">
        <v>154.76</v>
      </c>
      <c r="I197" s="251"/>
      <c r="J197" s="272">
        <f t="shared" ref="J197:J228" si="70">I197+H197+G197</f>
        <v>154.76</v>
      </c>
      <c r="K197" s="272">
        <f t="shared" ref="K197:K228" si="71">J197*F197</f>
        <v>7100.3887999999997</v>
      </c>
      <c r="L197" s="273"/>
      <c r="M197" s="274">
        <f t="shared" ref="M197:M228" si="72">L197*J197</f>
        <v>0</v>
      </c>
      <c r="N197" s="275"/>
      <c r="O197" s="276">
        <f t="shared" ref="O197:O228" si="73">N197*J197</f>
        <v>0</v>
      </c>
      <c r="P197" s="273">
        <f t="shared" ref="P197:P228" si="74">N197+L197</f>
        <v>0</v>
      </c>
      <c r="Q197" s="276">
        <f t="shared" ref="Q197:Q228" si="75">P197*J197</f>
        <v>0</v>
      </c>
      <c r="R197" s="277">
        <f t="shared" ref="R197:R228" si="76">IFERROR(Q197/K197,0)</f>
        <v>0</v>
      </c>
      <c r="S197" s="276">
        <f t="shared" ref="S197:S228" si="77">F197-P197</f>
        <v>45.88</v>
      </c>
      <c r="T197" s="276">
        <f t="shared" ref="T197:T228" si="78">K197-Q197</f>
        <v>7100.3887999999997</v>
      </c>
      <c r="U197" s="276"/>
      <c r="V197" s="249"/>
      <c r="W197" s="278">
        <f t="shared" si="60"/>
        <v>0</v>
      </c>
      <c r="X197" s="279"/>
      <c r="Y197" s="249"/>
    </row>
    <row r="198" spans="2:26" ht="18" customHeight="1">
      <c r="B198" s="266">
        <f t="shared" si="59"/>
        <v>155</v>
      </c>
      <c r="C198" s="301" t="s">
        <v>366</v>
      </c>
      <c r="D198" s="251" t="s">
        <v>364</v>
      </c>
      <c r="E198" s="252" t="s">
        <v>365</v>
      </c>
      <c r="F198" s="251">
        <v>86.18</v>
      </c>
      <c r="G198" s="303">
        <v>0</v>
      </c>
      <c r="H198" s="303">
        <v>139.22999999999999</v>
      </c>
      <c r="I198" s="251"/>
      <c r="J198" s="272">
        <f t="shared" si="70"/>
        <v>139.22999999999999</v>
      </c>
      <c r="K198" s="272">
        <f t="shared" si="71"/>
        <v>11998.841399999999</v>
      </c>
      <c r="L198" s="273"/>
      <c r="M198" s="274">
        <f t="shared" si="72"/>
        <v>0</v>
      </c>
      <c r="N198" s="275"/>
      <c r="O198" s="276">
        <f t="shared" si="73"/>
        <v>0</v>
      </c>
      <c r="P198" s="273">
        <f t="shared" si="74"/>
        <v>0</v>
      </c>
      <c r="Q198" s="276">
        <f t="shared" si="75"/>
        <v>0</v>
      </c>
      <c r="R198" s="277">
        <f t="shared" si="76"/>
        <v>0</v>
      </c>
      <c r="S198" s="276">
        <f t="shared" si="77"/>
        <v>86.18</v>
      </c>
      <c r="T198" s="276">
        <f t="shared" si="78"/>
        <v>11998.841399999999</v>
      </c>
      <c r="U198" s="276"/>
      <c r="V198" s="249"/>
      <c r="W198" s="278">
        <f t="shared" si="60"/>
        <v>0</v>
      </c>
      <c r="X198" s="279"/>
      <c r="Y198" s="249"/>
    </row>
    <row r="199" spans="2:26" ht="18" customHeight="1">
      <c r="B199" s="266">
        <f t="shared" si="59"/>
        <v>156</v>
      </c>
      <c r="C199" s="301" t="s">
        <v>367</v>
      </c>
      <c r="D199" s="251" t="s">
        <v>364</v>
      </c>
      <c r="E199" s="252" t="s">
        <v>365</v>
      </c>
      <c r="F199" s="251">
        <v>3.71</v>
      </c>
      <c r="G199" s="303">
        <v>0</v>
      </c>
      <c r="H199" s="303">
        <v>154.76</v>
      </c>
      <c r="I199" s="251"/>
      <c r="J199" s="272">
        <f t="shared" si="70"/>
        <v>154.76</v>
      </c>
      <c r="K199" s="272">
        <f t="shared" si="71"/>
        <v>574.15959999999995</v>
      </c>
      <c r="L199" s="273"/>
      <c r="M199" s="274">
        <f t="shared" si="72"/>
        <v>0</v>
      </c>
      <c r="N199" s="275"/>
      <c r="O199" s="276">
        <f t="shared" si="73"/>
        <v>0</v>
      </c>
      <c r="P199" s="273">
        <f t="shared" si="74"/>
        <v>0</v>
      </c>
      <c r="Q199" s="276">
        <f t="shared" si="75"/>
        <v>0</v>
      </c>
      <c r="R199" s="277">
        <f t="shared" si="76"/>
        <v>0</v>
      </c>
      <c r="S199" s="276">
        <f t="shared" si="77"/>
        <v>3.71</v>
      </c>
      <c r="T199" s="276">
        <f t="shared" si="78"/>
        <v>574.15959999999995</v>
      </c>
      <c r="U199" s="276"/>
      <c r="V199" s="249"/>
      <c r="W199" s="278">
        <f t="shared" si="60"/>
        <v>0</v>
      </c>
      <c r="X199" s="279"/>
      <c r="Y199" s="249"/>
    </row>
    <row r="200" spans="2:26" ht="18" customHeight="1">
      <c r="B200" s="266">
        <f t="shared" si="59"/>
        <v>157</v>
      </c>
      <c r="C200" s="301" t="s">
        <v>368</v>
      </c>
      <c r="D200" s="251" t="s">
        <v>364</v>
      </c>
      <c r="E200" s="252" t="s">
        <v>365</v>
      </c>
      <c r="F200" s="251">
        <v>19.79</v>
      </c>
      <c r="G200" s="303">
        <v>0</v>
      </c>
      <c r="H200" s="303">
        <v>309.10000000000002</v>
      </c>
      <c r="I200" s="251"/>
      <c r="J200" s="272">
        <f t="shared" si="70"/>
        <v>309.10000000000002</v>
      </c>
      <c r="K200" s="272">
        <f t="shared" si="71"/>
        <v>6117.0889999999999</v>
      </c>
      <c r="L200" s="273"/>
      <c r="M200" s="274">
        <f t="shared" si="72"/>
        <v>0</v>
      </c>
      <c r="N200" s="275"/>
      <c r="O200" s="276">
        <f t="shared" si="73"/>
        <v>0</v>
      </c>
      <c r="P200" s="273">
        <f t="shared" si="74"/>
        <v>0</v>
      </c>
      <c r="Q200" s="276">
        <f t="shared" si="75"/>
        <v>0</v>
      </c>
      <c r="R200" s="277">
        <f t="shared" si="76"/>
        <v>0</v>
      </c>
      <c r="S200" s="276">
        <f t="shared" si="77"/>
        <v>19.79</v>
      </c>
      <c r="T200" s="276">
        <f t="shared" si="78"/>
        <v>6117.0889999999999</v>
      </c>
      <c r="U200" s="276"/>
      <c r="V200" s="249"/>
      <c r="W200" s="278">
        <f t="shared" si="60"/>
        <v>0</v>
      </c>
      <c r="X200" s="279"/>
      <c r="Y200" s="249"/>
    </row>
    <row r="201" spans="2:26" ht="18" customHeight="1">
      <c r="B201" s="266">
        <f t="shared" si="59"/>
        <v>158</v>
      </c>
      <c r="C201" s="301" t="s">
        <v>369</v>
      </c>
      <c r="D201" s="251" t="s">
        <v>364</v>
      </c>
      <c r="E201" s="252" t="s">
        <v>365</v>
      </c>
      <c r="F201" s="251">
        <v>50.36</v>
      </c>
      <c r="G201" s="303">
        <v>0</v>
      </c>
      <c r="H201" s="303">
        <v>464.13</v>
      </c>
      <c r="I201" s="251"/>
      <c r="J201" s="272">
        <f t="shared" si="70"/>
        <v>464.13</v>
      </c>
      <c r="K201" s="272">
        <f t="shared" si="71"/>
        <v>23373.586800000001</v>
      </c>
      <c r="L201" s="273"/>
      <c r="M201" s="274">
        <f t="shared" si="72"/>
        <v>0</v>
      </c>
      <c r="N201" s="275"/>
      <c r="O201" s="276">
        <f t="shared" si="73"/>
        <v>0</v>
      </c>
      <c r="P201" s="273">
        <f t="shared" si="74"/>
        <v>0</v>
      </c>
      <c r="Q201" s="276">
        <f t="shared" si="75"/>
        <v>0</v>
      </c>
      <c r="R201" s="277">
        <f t="shared" si="76"/>
        <v>0</v>
      </c>
      <c r="S201" s="276">
        <f t="shared" si="77"/>
        <v>50.36</v>
      </c>
      <c r="T201" s="276">
        <f t="shared" si="78"/>
        <v>23373.586800000001</v>
      </c>
      <c r="U201" s="276"/>
      <c r="V201" s="249"/>
      <c r="W201" s="278">
        <f t="shared" si="60"/>
        <v>0</v>
      </c>
      <c r="X201" s="279"/>
      <c r="Y201" s="249"/>
    </row>
    <row r="202" spans="2:26" ht="18" customHeight="1">
      <c r="B202" s="266">
        <f t="shared" si="59"/>
        <v>159</v>
      </c>
      <c r="C202" s="301" t="s">
        <v>370</v>
      </c>
      <c r="D202" s="251" t="s">
        <v>371</v>
      </c>
      <c r="E202" s="252" t="s">
        <v>372</v>
      </c>
      <c r="F202" s="251">
        <v>15.99</v>
      </c>
      <c r="G202" s="303">
        <v>0</v>
      </c>
      <c r="H202" s="303">
        <v>126.62</v>
      </c>
      <c r="I202" s="251"/>
      <c r="J202" s="272">
        <f t="shared" si="70"/>
        <v>126.62</v>
      </c>
      <c r="K202" s="272">
        <f t="shared" si="71"/>
        <v>2024.6538</v>
      </c>
      <c r="L202" s="273"/>
      <c r="M202" s="274">
        <f t="shared" si="72"/>
        <v>0</v>
      </c>
      <c r="N202" s="275"/>
      <c r="O202" s="276">
        <f t="shared" si="73"/>
        <v>0</v>
      </c>
      <c r="P202" s="273">
        <f t="shared" si="74"/>
        <v>0</v>
      </c>
      <c r="Q202" s="276">
        <f t="shared" si="75"/>
        <v>0</v>
      </c>
      <c r="R202" s="277">
        <f t="shared" si="76"/>
        <v>0</v>
      </c>
      <c r="S202" s="276">
        <f t="shared" si="77"/>
        <v>15.99</v>
      </c>
      <c r="T202" s="276">
        <f t="shared" si="78"/>
        <v>2024.6538</v>
      </c>
      <c r="U202" s="276"/>
      <c r="V202" s="249"/>
      <c r="W202" s="278">
        <f t="shared" si="60"/>
        <v>0</v>
      </c>
      <c r="X202" s="279"/>
      <c r="Y202" s="249"/>
    </row>
    <row r="203" spans="2:26" ht="18" customHeight="1">
      <c r="B203" s="266">
        <f t="shared" si="59"/>
        <v>160</v>
      </c>
      <c r="C203" s="301" t="s">
        <v>370</v>
      </c>
      <c r="D203" s="251" t="s">
        <v>373</v>
      </c>
      <c r="E203" s="252" t="s">
        <v>372</v>
      </c>
      <c r="F203" s="251">
        <v>3.54</v>
      </c>
      <c r="G203" s="303">
        <v>0</v>
      </c>
      <c r="H203" s="303">
        <v>185.66</v>
      </c>
      <c r="I203" s="251"/>
      <c r="J203" s="272">
        <f t="shared" si="70"/>
        <v>185.66</v>
      </c>
      <c r="K203" s="272">
        <f t="shared" si="71"/>
        <v>657.2364</v>
      </c>
      <c r="L203" s="273"/>
      <c r="M203" s="274">
        <f t="shared" si="72"/>
        <v>0</v>
      </c>
      <c r="N203" s="275"/>
      <c r="O203" s="276">
        <f t="shared" si="73"/>
        <v>0</v>
      </c>
      <c r="P203" s="273">
        <f t="shared" si="74"/>
        <v>0</v>
      </c>
      <c r="Q203" s="276">
        <f t="shared" si="75"/>
        <v>0</v>
      </c>
      <c r="R203" s="277">
        <f t="shared" si="76"/>
        <v>0</v>
      </c>
      <c r="S203" s="276">
        <f t="shared" si="77"/>
        <v>3.54</v>
      </c>
      <c r="T203" s="276">
        <f t="shared" si="78"/>
        <v>657.2364</v>
      </c>
      <c r="U203" s="276"/>
      <c r="V203" s="249"/>
      <c r="W203" s="278">
        <f t="shared" si="60"/>
        <v>0</v>
      </c>
      <c r="X203" s="279"/>
      <c r="Y203" s="249"/>
    </row>
    <row r="204" spans="2:26" ht="18" customHeight="1">
      <c r="B204" s="266">
        <f t="shared" si="59"/>
        <v>161</v>
      </c>
      <c r="C204" s="301" t="s">
        <v>370</v>
      </c>
      <c r="D204" s="251" t="s">
        <v>374</v>
      </c>
      <c r="E204" s="252" t="s">
        <v>372</v>
      </c>
      <c r="F204" s="251">
        <v>36.340000000000003</v>
      </c>
      <c r="G204" s="303">
        <v>0</v>
      </c>
      <c r="H204" s="303">
        <v>309.37</v>
      </c>
      <c r="I204" s="251"/>
      <c r="J204" s="272">
        <f t="shared" si="70"/>
        <v>309.37</v>
      </c>
      <c r="K204" s="272">
        <f t="shared" si="71"/>
        <v>11242.505800000001</v>
      </c>
      <c r="L204" s="273"/>
      <c r="M204" s="274">
        <f t="shared" si="72"/>
        <v>0</v>
      </c>
      <c r="N204" s="275"/>
      <c r="O204" s="276">
        <f t="shared" si="73"/>
        <v>0</v>
      </c>
      <c r="P204" s="273">
        <f t="shared" si="74"/>
        <v>0</v>
      </c>
      <c r="Q204" s="276">
        <f t="shared" si="75"/>
        <v>0</v>
      </c>
      <c r="R204" s="277">
        <f t="shared" si="76"/>
        <v>0</v>
      </c>
      <c r="S204" s="276">
        <f t="shared" si="77"/>
        <v>36.340000000000003</v>
      </c>
      <c r="T204" s="276">
        <f t="shared" si="78"/>
        <v>11242.505800000001</v>
      </c>
      <c r="U204" s="276"/>
      <c r="V204" s="249"/>
      <c r="W204" s="278">
        <f t="shared" si="60"/>
        <v>0</v>
      </c>
      <c r="X204" s="279"/>
      <c r="Y204" s="249"/>
    </row>
    <row r="205" spans="2:26" ht="18" customHeight="1">
      <c r="B205" s="266">
        <f t="shared" si="59"/>
        <v>162</v>
      </c>
      <c r="C205" s="301" t="s">
        <v>375</v>
      </c>
      <c r="D205" s="251" t="s">
        <v>376</v>
      </c>
      <c r="E205" s="252" t="s">
        <v>365</v>
      </c>
      <c r="F205" s="251">
        <v>261.79000000000002</v>
      </c>
      <c r="G205" s="303">
        <v>0</v>
      </c>
      <c r="H205" s="303">
        <v>128.38</v>
      </c>
      <c r="I205" s="251"/>
      <c r="J205" s="272">
        <f t="shared" si="70"/>
        <v>128.38</v>
      </c>
      <c r="K205" s="272">
        <f t="shared" si="71"/>
        <v>33608.600200000001</v>
      </c>
      <c r="L205" s="273"/>
      <c r="M205" s="274">
        <f t="shared" si="72"/>
        <v>0</v>
      </c>
      <c r="N205" s="275"/>
      <c r="O205" s="276">
        <f t="shared" si="73"/>
        <v>0</v>
      </c>
      <c r="P205" s="273">
        <f t="shared" si="74"/>
        <v>0</v>
      </c>
      <c r="Q205" s="276">
        <f t="shared" si="75"/>
        <v>0</v>
      </c>
      <c r="R205" s="277">
        <f t="shared" si="76"/>
        <v>0</v>
      </c>
      <c r="S205" s="276">
        <f t="shared" si="77"/>
        <v>261.79000000000002</v>
      </c>
      <c r="T205" s="276">
        <f t="shared" si="78"/>
        <v>33608.600200000001</v>
      </c>
      <c r="U205" s="276"/>
      <c r="V205" s="249"/>
      <c r="W205" s="278">
        <f t="shared" si="60"/>
        <v>0</v>
      </c>
      <c r="X205" s="279"/>
      <c r="Y205" s="249"/>
    </row>
    <row r="206" spans="2:26" ht="18" customHeight="1">
      <c r="B206" s="266">
        <f t="shared" si="59"/>
        <v>163</v>
      </c>
      <c r="C206" s="301" t="s">
        <v>377</v>
      </c>
      <c r="D206" s="251" t="s">
        <v>378</v>
      </c>
      <c r="E206" s="252" t="s">
        <v>175</v>
      </c>
      <c r="F206" s="251">
        <v>4</v>
      </c>
      <c r="G206" s="303">
        <v>0</v>
      </c>
      <c r="H206" s="303">
        <v>299.35000000000002</v>
      </c>
      <c r="I206" s="251"/>
      <c r="J206" s="272">
        <f t="shared" si="70"/>
        <v>299.35000000000002</v>
      </c>
      <c r="K206" s="272">
        <f t="shared" si="71"/>
        <v>1197.4000000000001</v>
      </c>
      <c r="L206" s="273"/>
      <c r="M206" s="274">
        <f t="shared" si="72"/>
        <v>0</v>
      </c>
      <c r="N206" s="275"/>
      <c r="O206" s="276">
        <f t="shared" si="73"/>
        <v>0</v>
      </c>
      <c r="P206" s="273">
        <f t="shared" si="74"/>
        <v>0</v>
      </c>
      <c r="Q206" s="276">
        <f t="shared" si="75"/>
        <v>0</v>
      </c>
      <c r="R206" s="277">
        <f t="shared" si="76"/>
        <v>0</v>
      </c>
      <c r="S206" s="276">
        <f t="shared" si="77"/>
        <v>4</v>
      </c>
      <c r="T206" s="276">
        <f t="shared" si="78"/>
        <v>1197.4000000000001</v>
      </c>
      <c r="U206" s="276"/>
      <c r="V206" s="249"/>
      <c r="W206" s="278">
        <f t="shared" si="60"/>
        <v>0</v>
      </c>
      <c r="X206" s="279"/>
      <c r="Y206" s="249"/>
    </row>
    <row r="207" spans="2:26" ht="18" customHeight="1">
      <c r="B207" s="266">
        <f t="shared" si="59"/>
        <v>164</v>
      </c>
      <c r="C207" s="301" t="s">
        <v>377</v>
      </c>
      <c r="D207" s="251" t="s">
        <v>379</v>
      </c>
      <c r="E207" s="252" t="s">
        <v>175</v>
      </c>
      <c r="F207" s="251">
        <v>1</v>
      </c>
      <c r="G207" s="303">
        <v>0</v>
      </c>
      <c r="H207" s="303">
        <v>299.35000000000002</v>
      </c>
      <c r="I207" s="251"/>
      <c r="J207" s="272">
        <f t="shared" si="70"/>
        <v>299.35000000000002</v>
      </c>
      <c r="K207" s="272">
        <f t="shared" si="71"/>
        <v>299.35000000000002</v>
      </c>
      <c r="L207" s="273"/>
      <c r="M207" s="274">
        <f t="shared" si="72"/>
        <v>0</v>
      </c>
      <c r="N207" s="275"/>
      <c r="O207" s="276">
        <f t="shared" si="73"/>
        <v>0</v>
      </c>
      <c r="P207" s="273">
        <f t="shared" si="74"/>
        <v>0</v>
      </c>
      <c r="Q207" s="276">
        <f t="shared" si="75"/>
        <v>0</v>
      </c>
      <c r="R207" s="277">
        <f t="shared" si="76"/>
        <v>0</v>
      </c>
      <c r="S207" s="276">
        <f t="shared" si="77"/>
        <v>1</v>
      </c>
      <c r="T207" s="276">
        <f t="shared" si="78"/>
        <v>299.35000000000002</v>
      </c>
      <c r="U207" s="276"/>
      <c r="V207" s="249"/>
      <c r="W207" s="278">
        <f t="shared" si="60"/>
        <v>0</v>
      </c>
      <c r="X207" s="279"/>
      <c r="Y207" s="249"/>
    </row>
    <row r="208" spans="2:26" ht="18" customHeight="1">
      <c r="B208" s="266">
        <f t="shared" si="59"/>
        <v>165</v>
      </c>
      <c r="C208" s="301" t="s">
        <v>377</v>
      </c>
      <c r="D208" s="251" t="s">
        <v>380</v>
      </c>
      <c r="E208" s="252" t="s">
        <v>175</v>
      </c>
      <c r="F208" s="251">
        <v>5</v>
      </c>
      <c r="G208" s="303">
        <v>0</v>
      </c>
      <c r="H208" s="303">
        <v>320.24</v>
      </c>
      <c r="I208" s="251"/>
      <c r="J208" s="272">
        <f t="shared" si="70"/>
        <v>320.24</v>
      </c>
      <c r="K208" s="272">
        <f t="shared" si="71"/>
        <v>1601.2</v>
      </c>
      <c r="L208" s="273"/>
      <c r="M208" s="274">
        <f t="shared" si="72"/>
        <v>0</v>
      </c>
      <c r="N208" s="275"/>
      <c r="O208" s="276">
        <f t="shared" si="73"/>
        <v>0</v>
      </c>
      <c r="P208" s="273">
        <f t="shared" si="74"/>
        <v>0</v>
      </c>
      <c r="Q208" s="276">
        <f t="shared" si="75"/>
        <v>0</v>
      </c>
      <c r="R208" s="277">
        <f t="shared" si="76"/>
        <v>0</v>
      </c>
      <c r="S208" s="276">
        <f t="shared" si="77"/>
        <v>5</v>
      </c>
      <c r="T208" s="276">
        <f t="shared" si="78"/>
        <v>1601.2</v>
      </c>
      <c r="U208" s="276"/>
      <c r="V208" s="249"/>
      <c r="W208" s="278">
        <f t="shared" si="60"/>
        <v>0</v>
      </c>
      <c r="X208" s="279"/>
      <c r="Y208" s="249"/>
    </row>
    <row r="209" spans="2:25" ht="18" customHeight="1">
      <c r="B209" s="266">
        <f t="shared" si="59"/>
        <v>166</v>
      </c>
      <c r="C209" s="301" t="s">
        <v>377</v>
      </c>
      <c r="D209" s="251" t="s">
        <v>381</v>
      </c>
      <c r="E209" s="252" t="s">
        <v>175</v>
      </c>
      <c r="F209" s="251">
        <v>3</v>
      </c>
      <c r="G209" s="303">
        <v>0</v>
      </c>
      <c r="H209" s="303">
        <v>320.24</v>
      </c>
      <c r="I209" s="251"/>
      <c r="J209" s="272">
        <f t="shared" si="70"/>
        <v>320.24</v>
      </c>
      <c r="K209" s="272">
        <f t="shared" si="71"/>
        <v>960.72</v>
      </c>
      <c r="L209" s="273"/>
      <c r="M209" s="274">
        <f t="shared" si="72"/>
        <v>0</v>
      </c>
      <c r="N209" s="275"/>
      <c r="O209" s="276">
        <f t="shared" si="73"/>
        <v>0</v>
      </c>
      <c r="P209" s="273">
        <f t="shared" si="74"/>
        <v>0</v>
      </c>
      <c r="Q209" s="276">
        <f t="shared" si="75"/>
        <v>0</v>
      </c>
      <c r="R209" s="277">
        <f t="shared" si="76"/>
        <v>0</v>
      </c>
      <c r="S209" s="276">
        <f t="shared" si="77"/>
        <v>3</v>
      </c>
      <c r="T209" s="276">
        <f t="shared" si="78"/>
        <v>960.72</v>
      </c>
      <c r="U209" s="276"/>
      <c r="V209" s="249"/>
      <c r="W209" s="278">
        <f t="shared" si="60"/>
        <v>0</v>
      </c>
      <c r="X209" s="279"/>
      <c r="Y209" s="249"/>
    </row>
    <row r="210" spans="2:25" ht="18" customHeight="1">
      <c r="B210" s="266">
        <f t="shared" si="59"/>
        <v>167</v>
      </c>
      <c r="C210" s="301" t="s">
        <v>382</v>
      </c>
      <c r="D210" s="251" t="s">
        <v>383</v>
      </c>
      <c r="E210" s="252" t="s">
        <v>175</v>
      </c>
      <c r="F210" s="251">
        <v>4</v>
      </c>
      <c r="G210" s="303">
        <v>0</v>
      </c>
      <c r="H210" s="303">
        <v>365.49</v>
      </c>
      <c r="I210" s="251"/>
      <c r="J210" s="272">
        <f t="shared" si="70"/>
        <v>365.49</v>
      </c>
      <c r="K210" s="272">
        <f t="shared" si="71"/>
        <v>1461.96</v>
      </c>
      <c r="L210" s="273"/>
      <c r="M210" s="274">
        <f t="shared" si="72"/>
        <v>0</v>
      </c>
      <c r="N210" s="275"/>
      <c r="O210" s="276">
        <f t="shared" si="73"/>
        <v>0</v>
      </c>
      <c r="P210" s="273">
        <f t="shared" si="74"/>
        <v>0</v>
      </c>
      <c r="Q210" s="276">
        <f t="shared" si="75"/>
        <v>0</v>
      </c>
      <c r="R210" s="277">
        <f t="shared" si="76"/>
        <v>0</v>
      </c>
      <c r="S210" s="276">
        <f t="shared" si="77"/>
        <v>4</v>
      </c>
      <c r="T210" s="276">
        <f t="shared" si="78"/>
        <v>1461.96</v>
      </c>
      <c r="U210" s="276"/>
      <c r="V210" s="249"/>
      <c r="W210" s="278">
        <f t="shared" si="60"/>
        <v>0</v>
      </c>
      <c r="X210" s="279"/>
      <c r="Y210" s="249"/>
    </row>
    <row r="211" spans="2:25" ht="18" customHeight="1">
      <c r="B211" s="266">
        <f t="shared" si="59"/>
        <v>168</v>
      </c>
      <c r="C211" s="301" t="s">
        <v>382</v>
      </c>
      <c r="D211" s="251" t="s">
        <v>384</v>
      </c>
      <c r="E211" s="252" t="s">
        <v>175</v>
      </c>
      <c r="F211" s="251">
        <v>1</v>
      </c>
      <c r="G211" s="303">
        <v>0</v>
      </c>
      <c r="H211" s="303">
        <v>365.49</v>
      </c>
      <c r="I211" s="251"/>
      <c r="J211" s="272">
        <f t="shared" si="70"/>
        <v>365.49</v>
      </c>
      <c r="K211" s="272">
        <f t="shared" si="71"/>
        <v>365.49</v>
      </c>
      <c r="L211" s="273"/>
      <c r="M211" s="274">
        <f t="shared" si="72"/>
        <v>0</v>
      </c>
      <c r="N211" s="275"/>
      <c r="O211" s="276">
        <f t="shared" si="73"/>
        <v>0</v>
      </c>
      <c r="P211" s="273">
        <f t="shared" si="74"/>
        <v>0</v>
      </c>
      <c r="Q211" s="276">
        <f t="shared" si="75"/>
        <v>0</v>
      </c>
      <c r="R211" s="277">
        <f t="shared" si="76"/>
        <v>0</v>
      </c>
      <c r="S211" s="276">
        <f t="shared" si="77"/>
        <v>1</v>
      </c>
      <c r="T211" s="276">
        <f t="shared" si="78"/>
        <v>365.49</v>
      </c>
      <c r="U211" s="276"/>
      <c r="V211" s="249"/>
      <c r="W211" s="278">
        <f t="shared" si="60"/>
        <v>0</v>
      </c>
      <c r="X211" s="279"/>
      <c r="Y211" s="249"/>
    </row>
    <row r="212" spans="2:25" ht="18" customHeight="1">
      <c r="B212" s="266">
        <f t="shared" si="59"/>
        <v>169</v>
      </c>
      <c r="C212" s="301" t="s">
        <v>382</v>
      </c>
      <c r="D212" s="251" t="s">
        <v>385</v>
      </c>
      <c r="E212" s="252" t="s">
        <v>175</v>
      </c>
      <c r="F212" s="251">
        <v>6</v>
      </c>
      <c r="G212" s="303">
        <v>0</v>
      </c>
      <c r="H212" s="303">
        <v>365.49</v>
      </c>
      <c r="I212" s="251"/>
      <c r="J212" s="272">
        <f t="shared" si="70"/>
        <v>365.49</v>
      </c>
      <c r="K212" s="272">
        <f t="shared" si="71"/>
        <v>2192.94</v>
      </c>
      <c r="L212" s="273"/>
      <c r="M212" s="274">
        <f t="shared" si="72"/>
        <v>0</v>
      </c>
      <c r="N212" s="275"/>
      <c r="O212" s="276">
        <f t="shared" si="73"/>
        <v>0</v>
      </c>
      <c r="P212" s="273">
        <f t="shared" si="74"/>
        <v>0</v>
      </c>
      <c r="Q212" s="276">
        <f t="shared" si="75"/>
        <v>0</v>
      </c>
      <c r="R212" s="277">
        <f t="shared" si="76"/>
        <v>0</v>
      </c>
      <c r="S212" s="276">
        <f t="shared" si="77"/>
        <v>6</v>
      </c>
      <c r="T212" s="276">
        <f t="shared" si="78"/>
        <v>2192.94</v>
      </c>
      <c r="U212" s="276"/>
      <c r="V212" s="249"/>
      <c r="W212" s="278">
        <f t="shared" si="60"/>
        <v>0</v>
      </c>
      <c r="X212" s="279"/>
      <c r="Y212" s="249"/>
    </row>
    <row r="213" spans="2:25" ht="18" customHeight="1">
      <c r="B213" s="266">
        <f t="shared" si="59"/>
        <v>170</v>
      </c>
      <c r="C213" s="301" t="s">
        <v>382</v>
      </c>
      <c r="D213" s="251" t="s">
        <v>386</v>
      </c>
      <c r="E213" s="252" t="s">
        <v>175</v>
      </c>
      <c r="F213" s="251">
        <v>1</v>
      </c>
      <c r="G213" s="303">
        <v>0</v>
      </c>
      <c r="H213" s="303">
        <v>365.49</v>
      </c>
      <c r="I213" s="251"/>
      <c r="J213" s="272">
        <f t="shared" si="70"/>
        <v>365.49</v>
      </c>
      <c r="K213" s="272">
        <f t="shared" si="71"/>
        <v>365.49</v>
      </c>
      <c r="L213" s="273"/>
      <c r="M213" s="274">
        <f t="shared" si="72"/>
        <v>0</v>
      </c>
      <c r="N213" s="275"/>
      <c r="O213" s="276">
        <f t="shared" si="73"/>
        <v>0</v>
      </c>
      <c r="P213" s="273">
        <f t="shared" si="74"/>
        <v>0</v>
      </c>
      <c r="Q213" s="276">
        <f t="shared" si="75"/>
        <v>0</v>
      </c>
      <c r="R213" s="277">
        <f t="shared" si="76"/>
        <v>0</v>
      </c>
      <c r="S213" s="276">
        <f t="shared" si="77"/>
        <v>1</v>
      </c>
      <c r="T213" s="276">
        <f t="shared" si="78"/>
        <v>365.49</v>
      </c>
      <c r="U213" s="276"/>
      <c r="V213" s="249"/>
      <c r="W213" s="278">
        <f t="shared" si="60"/>
        <v>0</v>
      </c>
      <c r="X213" s="279"/>
      <c r="Y213" s="249"/>
    </row>
    <row r="214" spans="2:25" ht="18" customHeight="1">
      <c r="B214" s="266">
        <f t="shared" si="59"/>
        <v>171</v>
      </c>
      <c r="C214" s="301" t="s">
        <v>382</v>
      </c>
      <c r="D214" s="251" t="s">
        <v>387</v>
      </c>
      <c r="E214" s="252" t="s">
        <v>175</v>
      </c>
      <c r="F214" s="251">
        <v>2</v>
      </c>
      <c r="G214" s="303">
        <v>0</v>
      </c>
      <c r="H214" s="303">
        <v>365.49</v>
      </c>
      <c r="I214" s="251"/>
      <c r="J214" s="272">
        <f t="shared" si="70"/>
        <v>365.49</v>
      </c>
      <c r="K214" s="272">
        <f t="shared" si="71"/>
        <v>730.98</v>
      </c>
      <c r="L214" s="273"/>
      <c r="M214" s="274">
        <f t="shared" si="72"/>
        <v>0</v>
      </c>
      <c r="N214" s="275"/>
      <c r="O214" s="276">
        <f t="shared" si="73"/>
        <v>0</v>
      </c>
      <c r="P214" s="273">
        <f t="shared" si="74"/>
        <v>0</v>
      </c>
      <c r="Q214" s="276">
        <f t="shared" si="75"/>
        <v>0</v>
      </c>
      <c r="R214" s="277">
        <f t="shared" si="76"/>
        <v>0</v>
      </c>
      <c r="S214" s="276">
        <f t="shared" si="77"/>
        <v>2</v>
      </c>
      <c r="T214" s="276">
        <f t="shared" si="78"/>
        <v>730.98</v>
      </c>
      <c r="U214" s="276"/>
      <c r="V214" s="249"/>
      <c r="W214" s="278">
        <f t="shared" si="60"/>
        <v>0</v>
      </c>
      <c r="X214" s="279"/>
      <c r="Y214" s="249"/>
    </row>
    <row r="215" spans="2:25" ht="18" customHeight="1">
      <c r="B215" s="266">
        <f t="shared" si="59"/>
        <v>172</v>
      </c>
      <c r="C215" s="301" t="s">
        <v>382</v>
      </c>
      <c r="D215" s="251" t="s">
        <v>388</v>
      </c>
      <c r="E215" s="252" t="s">
        <v>175</v>
      </c>
      <c r="F215" s="251">
        <v>3</v>
      </c>
      <c r="G215" s="303">
        <v>0</v>
      </c>
      <c r="H215" s="303">
        <v>365.49</v>
      </c>
      <c r="I215" s="251"/>
      <c r="J215" s="272">
        <f t="shared" si="70"/>
        <v>365.49</v>
      </c>
      <c r="K215" s="272">
        <f t="shared" si="71"/>
        <v>1096.47</v>
      </c>
      <c r="L215" s="273"/>
      <c r="M215" s="274">
        <f t="shared" si="72"/>
        <v>0</v>
      </c>
      <c r="N215" s="275"/>
      <c r="O215" s="276">
        <f t="shared" si="73"/>
        <v>0</v>
      </c>
      <c r="P215" s="273">
        <f t="shared" si="74"/>
        <v>0</v>
      </c>
      <c r="Q215" s="276">
        <f t="shared" si="75"/>
        <v>0</v>
      </c>
      <c r="R215" s="277">
        <f t="shared" si="76"/>
        <v>0</v>
      </c>
      <c r="S215" s="276">
        <f t="shared" si="77"/>
        <v>3</v>
      </c>
      <c r="T215" s="276">
        <f t="shared" si="78"/>
        <v>1096.47</v>
      </c>
      <c r="U215" s="276"/>
      <c r="V215" s="249"/>
      <c r="W215" s="278">
        <f t="shared" si="60"/>
        <v>0</v>
      </c>
      <c r="X215" s="279"/>
      <c r="Y215" s="249"/>
    </row>
    <row r="216" spans="2:25" ht="18" customHeight="1">
      <c r="B216" s="266">
        <f t="shared" si="59"/>
        <v>173</v>
      </c>
      <c r="C216" s="301" t="s">
        <v>389</v>
      </c>
      <c r="D216" s="251" t="s">
        <v>383</v>
      </c>
      <c r="E216" s="252" t="s">
        <v>175</v>
      </c>
      <c r="F216" s="251">
        <v>4</v>
      </c>
      <c r="G216" s="303">
        <v>0</v>
      </c>
      <c r="H216" s="303">
        <v>261.06</v>
      </c>
      <c r="I216" s="251"/>
      <c r="J216" s="272">
        <f t="shared" si="70"/>
        <v>261.06</v>
      </c>
      <c r="K216" s="272">
        <f t="shared" si="71"/>
        <v>1044.24</v>
      </c>
      <c r="L216" s="273"/>
      <c r="M216" s="274">
        <f t="shared" si="72"/>
        <v>0</v>
      </c>
      <c r="N216" s="275"/>
      <c r="O216" s="276">
        <f t="shared" si="73"/>
        <v>0</v>
      </c>
      <c r="P216" s="273">
        <f t="shared" si="74"/>
        <v>0</v>
      </c>
      <c r="Q216" s="276">
        <f t="shared" si="75"/>
        <v>0</v>
      </c>
      <c r="R216" s="277">
        <f t="shared" si="76"/>
        <v>0</v>
      </c>
      <c r="S216" s="276">
        <f t="shared" si="77"/>
        <v>4</v>
      </c>
      <c r="T216" s="276">
        <f t="shared" si="78"/>
        <v>1044.24</v>
      </c>
      <c r="U216" s="276"/>
      <c r="V216" s="249"/>
      <c r="W216" s="278">
        <f t="shared" si="60"/>
        <v>0</v>
      </c>
      <c r="X216" s="279"/>
      <c r="Y216" s="249"/>
    </row>
    <row r="217" spans="2:25" ht="18" customHeight="1">
      <c r="B217" s="266">
        <f t="shared" si="59"/>
        <v>174</v>
      </c>
      <c r="C217" s="301" t="s">
        <v>389</v>
      </c>
      <c r="D217" s="251" t="s">
        <v>384</v>
      </c>
      <c r="E217" s="252" t="s">
        <v>175</v>
      </c>
      <c r="F217" s="251">
        <v>1</v>
      </c>
      <c r="G217" s="303">
        <v>0</v>
      </c>
      <c r="H217" s="303">
        <v>261.06</v>
      </c>
      <c r="I217" s="251"/>
      <c r="J217" s="272">
        <f t="shared" si="70"/>
        <v>261.06</v>
      </c>
      <c r="K217" s="272">
        <f t="shared" si="71"/>
        <v>261.06</v>
      </c>
      <c r="L217" s="273"/>
      <c r="M217" s="274">
        <f t="shared" si="72"/>
        <v>0</v>
      </c>
      <c r="N217" s="275"/>
      <c r="O217" s="276">
        <f t="shared" si="73"/>
        <v>0</v>
      </c>
      <c r="P217" s="273">
        <f t="shared" si="74"/>
        <v>0</v>
      </c>
      <c r="Q217" s="276">
        <f t="shared" si="75"/>
        <v>0</v>
      </c>
      <c r="R217" s="277">
        <f t="shared" si="76"/>
        <v>0</v>
      </c>
      <c r="S217" s="276">
        <f t="shared" si="77"/>
        <v>1</v>
      </c>
      <c r="T217" s="276">
        <f t="shared" si="78"/>
        <v>261.06</v>
      </c>
      <c r="U217" s="276"/>
      <c r="V217" s="249"/>
      <c r="W217" s="278">
        <f t="shared" si="60"/>
        <v>0</v>
      </c>
      <c r="X217" s="279"/>
      <c r="Y217" s="249"/>
    </row>
    <row r="218" spans="2:25" ht="18" customHeight="1">
      <c r="B218" s="266">
        <f t="shared" si="59"/>
        <v>175</v>
      </c>
      <c r="C218" s="301" t="s">
        <v>389</v>
      </c>
      <c r="D218" s="251" t="s">
        <v>385</v>
      </c>
      <c r="E218" s="252" t="s">
        <v>175</v>
      </c>
      <c r="F218" s="251">
        <v>6</v>
      </c>
      <c r="G218" s="303">
        <v>0</v>
      </c>
      <c r="H218" s="303">
        <v>261.06</v>
      </c>
      <c r="I218" s="251"/>
      <c r="J218" s="272">
        <f t="shared" si="70"/>
        <v>261.06</v>
      </c>
      <c r="K218" s="272">
        <f t="shared" si="71"/>
        <v>1566.3600000000001</v>
      </c>
      <c r="L218" s="273"/>
      <c r="M218" s="274">
        <f t="shared" si="72"/>
        <v>0</v>
      </c>
      <c r="N218" s="275"/>
      <c r="O218" s="276">
        <f t="shared" si="73"/>
        <v>0</v>
      </c>
      <c r="P218" s="273">
        <f t="shared" si="74"/>
        <v>0</v>
      </c>
      <c r="Q218" s="276">
        <f t="shared" si="75"/>
        <v>0</v>
      </c>
      <c r="R218" s="277">
        <f t="shared" si="76"/>
        <v>0</v>
      </c>
      <c r="S218" s="276">
        <f t="shared" si="77"/>
        <v>6</v>
      </c>
      <c r="T218" s="276">
        <f t="shared" si="78"/>
        <v>1566.3600000000001</v>
      </c>
      <c r="U218" s="276"/>
      <c r="V218" s="249"/>
      <c r="W218" s="278">
        <f t="shared" si="60"/>
        <v>0</v>
      </c>
      <c r="X218" s="279"/>
      <c r="Y218" s="249"/>
    </row>
    <row r="219" spans="2:25" ht="18" customHeight="1">
      <c r="B219" s="266">
        <f t="shared" si="59"/>
        <v>176</v>
      </c>
      <c r="C219" s="301" t="s">
        <v>389</v>
      </c>
      <c r="D219" s="251" t="s">
        <v>386</v>
      </c>
      <c r="E219" s="252" t="s">
        <v>175</v>
      </c>
      <c r="F219" s="251">
        <v>1</v>
      </c>
      <c r="G219" s="303">
        <v>0</v>
      </c>
      <c r="H219" s="303">
        <v>261.06</v>
      </c>
      <c r="I219" s="251"/>
      <c r="J219" s="272">
        <f t="shared" si="70"/>
        <v>261.06</v>
      </c>
      <c r="K219" s="272">
        <f t="shared" si="71"/>
        <v>261.06</v>
      </c>
      <c r="L219" s="273"/>
      <c r="M219" s="274">
        <f t="shared" si="72"/>
        <v>0</v>
      </c>
      <c r="N219" s="275"/>
      <c r="O219" s="276">
        <f t="shared" si="73"/>
        <v>0</v>
      </c>
      <c r="P219" s="273">
        <f t="shared" si="74"/>
        <v>0</v>
      </c>
      <c r="Q219" s="276">
        <f t="shared" si="75"/>
        <v>0</v>
      </c>
      <c r="R219" s="277">
        <f t="shared" si="76"/>
        <v>0</v>
      </c>
      <c r="S219" s="276">
        <f t="shared" si="77"/>
        <v>1</v>
      </c>
      <c r="T219" s="276">
        <f t="shared" si="78"/>
        <v>261.06</v>
      </c>
      <c r="U219" s="276"/>
      <c r="V219" s="249"/>
      <c r="W219" s="278">
        <f t="shared" si="60"/>
        <v>0</v>
      </c>
      <c r="X219" s="279"/>
      <c r="Y219" s="249"/>
    </row>
    <row r="220" spans="2:25" ht="18" customHeight="1">
      <c r="B220" s="266">
        <f t="shared" si="59"/>
        <v>177</v>
      </c>
      <c r="C220" s="301" t="s">
        <v>389</v>
      </c>
      <c r="D220" s="251" t="s">
        <v>387</v>
      </c>
      <c r="E220" s="252" t="s">
        <v>175</v>
      </c>
      <c r="F220" s="251">
        <v>2</v>
      </c>
      <c r="G220" s="303">
        <v>0</v>
      </c>
      <c r="H220" s="303">
        <v>261.06</v>
      </c>
      <c r="I220" s="251"/>
      <c r="J220" s="272">
        <f t="shared" si="70"/>
        <v>261.06</v>
      </c>
      <c r="K220" s="272">
        <f t="shared" si="71"/>
        <v>522.12</v>
      </c>
      <c r="L220" s="273"/>
      <c r="M220" s="274">
        <f t="shared" si="72"/>
        <v>0</v>
      </c>
      <c r="N220" s="275"/>
      <c r="O220" s="276">
        <f t="shared" si="73"/>
        <v>0</v>
      </c>
      <c r="P220" s="273">
        <f t="shared" si="74"/>
        <v>0</v>
      </c>
      <c r="Q220" s="276">
        <f t="shared" si="75"/>
        <v>0</v>
      </c>
      <c r="R220" s="277">
        <f t="shared" si="76"/>
        <v>0</v>
      </c>
      <c r="S220" s="276">
        <f t="shared" si="77"/>
        <v>2</v>
      </c>
      <c r="T220" s="276">
        <f t="shared" si="78"/>
        <v>522.12</v>
      </c>
      <c r="U220" s="276"/>
      <c r="V220" s="249"/>
      <c r="W220" s="278">
        <f t="shared" si="60"/>
        <v>0</v>
      </c>
      <c r="X220" s="279"/>
      <c r="Y220" s="249"/>
    </row>
    <row r="221" spans="2:25" ht="18" customHeight="1">
      <c r="B221" s="266">
        <f t="shared" si="59"/>
        <v>178</v>
      </c>
      <c r="C221" s="301" t="s">
        <v>389</v>
      </c>
      <c r="D221" s="251" t="s">
        <v>388</v>
      </c>
      <c r="E221" s="252" t="s">
        <v>175</v>
      </c>
      <c r="F221" s="251">
        <v>3</v>
      </c>
      <c r="G221" s="303">
        <v>0</v>
      </c>
      <c r="H221" s="303">
        <v>339.39</v>
      </c>
      <c r="I221" s="251"/>
      <c r="J221" s="272">
        <f t="shared" si="70"/>
        <v>339.39</v>
      </c>
      <c r="K221" s="272">
        <f t="shared" si="71"/>
        <v>1018.17</v>
      </c>
      <c r="L221" s="273"/>
      <c r="M221" s="274">
        <f t="shared" si="72"/>
        <v>0</v>
      </c>
      <c r="N221" s="275"/>
      <c r="O221" s="276">
        <f t="shared" si="73"/>
        <v>0</v>
      </c>
      <c r="P221" s="273">
        <f t="shared" si="74"/>
        <v>0</v>
      </c>
      <c r="Q221" s="276">
        <f t="shared" si="75"/>
        <v>0</v>
      </c>
      <c r="R221" s="277">
        <f t="shared" si="76"/>
        <v>0</v>
      </c>
      <c r="S221" s="276">
        <f t="shared" si="77"/>
        <v>3</v>
      </c>
      <c r="T221" s="276">
        <f t="shared" si="78"/>
        <v>1018.17</v>
      </c>
      <c r="U221" s="276"/>
      <c r="V221" s="249"/>
      <c r="W221" s="278">
        <f t="shared" si="60"/>
        <v>0</v>
      </c>
      <c r="X221" s="279"/>
      <c r="Y221" s="249"/>
    </row>
    <row r="222" spans="2:25" ht="18" customHeight="1">
      <c r="B222" s="266">
        <f t="shared" si="59"/>
        <v>179</v>
      </c>
      <c r="C222" s="301" t="s">
        <v>390</v>
      </c>
      <c r="D222" s="251" t="s">
        <v>391</v>
      </c>
      <c r="E222" s="252" t="s">
        <v>175</v>
      </c>
      <c r="F222" s="251">
        <v>3</v>
      </c>
      <c r="G222" s="303">
        <v>0</v>
      </c>
      <c r="H222" s="303">
        <v>261.06</v>
      </c>
      <c r="I222" s="251"/>
      <c r="J222" s="272">
        <f t="shared" si="70"/>
        <v>261.06</v>
      </c>
      <c r="K222" s="272">
        <f t="shared" si="71"/>
        <v>783.18000000000006</v>
      </c>
      <c r="L222" s="273"/>
      <c r="M222" s="274">
        <f t="shared" si="72"/>
        <v>0</v>
      </c>
      <c r="N222" s="275"/>
      <c r="O222" s="276">
        <f t="shared" si="73"/>
        <v>0</v>
      </c>
      <c r="P222" s="273">
        <f t="shared" si="74"/>
        <v>0</v>
      </c>
      <c r="Q222" s="276">
        <f t="shared" si="75"/>
        <v>0</v>
      </c>
      <c r="R222" s="277">
        <f t="shared" si="76"/>
        <v>0</v>
      </c>
      <c r="S222" s="276">
        <f t="shared" si="77"/>
        <v>3</v>
      </c>
      <c r="T222" s="276">
        <f t="shared" si="78"/>
        <v>783.18000000000006</v>
      </c>
      <c r="U222" s="276"/>
      <c r="V222" s="249"/>
      <c r="W222" s="278">
        <f t="shared" si="60"/>
        <v>0</v>
      </c>
      <c r="X222" s="279"/>
      <c r="Y222" s="249"/>
    </row>
    <row r="223" spans="2:25" ht="18" customHeight="1">
      <c r="B223" s="266">
        <f t="shared" si="59"/>
        <v>180</v>
      </c>
      <c r="C223" s="301" t="s">
        <v>390</v>
      </c>
      <c r="D223" s="251" t="s">
        <v>392</v>
      </c>
      <c r="E223" s="252" t="s">
        <v>175</v>
      </c>
      <c r="F223" s="251">
        <v>6</v>
      </c>
      <c r="G223" s="303">
        <v>0</v>
      </c>
      <c r="H223" s="303">
        <v>261.06</v>
      </c>
      <c r="I223" s="251"/>
      <c r="J223" s="272">
        <f t="shared" si="70"/>
        <v>261.06</v>
      </c>
      <c r="K223" s="272">
        <f t="shared" si="71"/>
        <v>1566.3600000000001</v>
      </c>
      <c r="L223" s="273"/>
      <c r="M223" s="274">
        <f t="shared" si="72"/>
        <v>0</v>
      </c>
      <c r="N223" s="275"/>
      <c r="O223" s="276">
        <f t="shared" si="73"/>
        <v>0</v>
      </c>
      <c r="P223" s="273">
        <f t="shared" si="74"/>
        <v>0</v>
      </c>
      <c r="Q223" s="276">
        <f t="shared" si="75"/>
        <v>0</v>
      </c>
      <c r="R223" s="277">
        <f t="shared" si="76"/>
        <v>0</v>
      </c>
      <c r="S223" s="276">
        <f t="shared" si="77"/>
        <v>6</v>
      </c>
      <c r="T223" s="276">
        <f t="shared" si="78"/>
        <v>1566.3600000000001</v>
      </c>
      <c r="U223" s="276"/>
      <c r="V223" s="249"/>
      <c r="W223" s="278">
        <f t="shared" si="60"/>
        <v>0</v>
      </c>
      <c r="X223" s="279"/>
      <c r="Y223" s="249"/>
    </row>
    <row r="224" spans="2:25" ht="18" customHeight="1">
      <c r="B224" s="266">
        <f t="shared" si="59"/>
        <v>181</v>
      </c>
      <c r="C224" s="301" t="s">
        <v>390</v>
      </c>
      <c r="D224" s="251" t="s">
        <v>393</v>
      </c>
      <c r="E224" s="252" t="s">
        <v>175</v>
      </c>
      <c r="F224" s="251">
        <v>6</v>
      </c>
      <c r="G224" s="303">
        <v>0</v>
      </c>
      <c r="H224" s="303">
        <v>339.39</v>
      </c>
      <c r="I224" s="251"/>
      <c r="J224" s="272">
        <f t="shared" si="70"/>
        <v>339.39</v>
      </c>
      <c r="K224" s="272">
        <f t="shared" si="71"/>
        <v>2036.34</v>
      </c>
      <c r="L224" s="273"/>
      <c r="M224" s="274">
        <f t="shared" si="72"/>
        <v>0</v>
      </c>
      <c r="N224" s="275"/>
      <c r="O224" s="276">
        <f t="shared" si="73"/>
        <v>0</v>
      </c>
      <c r="P224" s="273">
        <f t="shared" si="74"/>
        <v>0</v>
      </c>
      <c r="Q224" s="276">
        <f t="shared" si="75"/>
        <v>0</v>
      </c>
      <c r="R224" s="277">
        <f t="shared" si="76"/>
        <v>0</v>
      </c>
      <c r="S224" s="276">
        <f t="shared" si="77"/>
        <v>6</v>
      </c>
      <c r="T224" s="276">
        <f t="shared" si="78"/>
        <v>2036.34</v>
      </c>
      <c r="U224" s="276"/>
      <c r="V224" s="249"/>
      <c r="W224" s="278">
        <f t="shared" si="60"/>
        <v>0</v>
      </c>
      <c r="X224" s="279"/>
      <c r="Y224" s="249"/>
    </row>
    <row r="225" spans="2:26" ht="18" customHeight="1">
      <c r="B225" s="266">
        <f t="shared" si="59"/>
        <v>182</v>
      </c>
      <c r="C225" s="301" t="s">
        <v>394</v>
      </c>
      <c r="D225" s="251" t="s">
        <v>391</v>
      </c>
      <c r="E225" s="252" t="s">
        <v>175</v>
      </c>
      <c r="F225" s="251">
        <v>3</v>
      </c>
      <c r="G225" s="303">
        <v>0</v>
      </c>
      <c r="H225" s="303">
        <v>217.89</v>
      </c>
      <c r="I225" s="251"/>
      <c r="J225" s="272">
        <f t="shared" si="70"/>
        <v>217.89</v>
      </c>
      <c r="K225" s="272">
        <f t="shared" si="71"/>
        <v>653.66999999999996</v>
      </c>
      <c r="L225" s="273"/>
      <c r="M225" s="274">
        <f t="shared" si="72"/>
        <v>0</v>
      </c>
      <c r="N225" s="275"/>
      <c r="O225" s="276">
        <f t="shared" si="73"/>
        <v>0</v>
      </c>
      <c r="P225" s="273">
        <f t="shared" si="74"/>
        <v>0</v>
      </c>
      <c r="Q225" s="276">
        <f t="shared" si="75"/>
        <v>0</v>
      </c>
      <c r="R225" s="277">
        <f t="shared" si="76"/>
        <v>0</v>
      </c>
      <c r="S225" s="276">
        <f t="shared" si="77"/>
        <v>3</v>
      </c>
      <c r="T225" s="276">
        <f t="shared" si="78"/>
        <v>653.66999999999996</v>
      </c>
      <c r="U225" s="276"/>
      <c r="V225" s="249"/>
      <c r="W225" s="278">
        <f t="shared" si="60"/>
        <v>0</v>
      </c>
      <c r="X225" s="279"/>
      <c r="Y225" s="249"/>
    </row>
    <row r="226" spans="2:26" ht="18" customHeight="1">
      <c r="B226" s="266">
        <f t="shared" si="59"/>
        <v>183</v>
      </c>
      <c r="C226" s="301" t="s">
        <v>394</v>
      </c>
      <c r="D226" s="251" t="s">
        <v>392</v>
      </c>
      <c r="E226" s="252" t="s">
        <v>175</v>
      </c>
      <c r="F226" s="251">
        <v>6</v>
      </c>
      <c r="G226" s="303">
        <v>0</v>
      </c>
      <c r="H226" s="303">
        <v>253.4</v>
      </c>
      <c r="I226" s="251"/>
      <c r="J226" s="272">
        <f t="shared" si="70"/>
        <v>253.4</v>
      </c>
      <c r="K226" s="272">
        <f t="shared" si="71"/>
        <v>1520.4</v>
      </c>
      <c r="L226" s="273"/>
      <c r="M226" s="274">
        <f t="shared" si="72"/>
        <v>0</v>
      </c>
      <c r="N226" s="275"/>
      <c r="O226" s="276">
        <f t="shared" si="73"/>
        <v>0</v>
      </c>
      <c r="P226" s="273">
        <f t="shared" si="74"/>
        <v>0</v>
      </c>
      <c r="Q226" s="276">
        <f t="shared" si="75"/>
        <v>0</v>
      </c>
      <c r="R226" s="277">
        <f t="shared" si="76"/>
        <v>0</v>
      </c>
      <c r="S226" s="276">
        <f t="shared" si="77"/>
        <v>6</v>
      </c>
      <c r="T226" s="276">
        <f t="shared" si="78"/>
        <v>1520.4</v>
      </c>
      <c r="U226" s="276"/>
      <c r="V226" s="249"/>
      <c r="W226" s="278">
        <f t="shared" si="60"/>
        <v>0</v>
      </c>
      <c r="X226" s="279"/>
      <c r="Y226" s="249"/>
    </row>
    <row r="227" spans="2:26" ht="18" customHeight="1">
      <c r="B227" s="266">
        <f t="shared" si="59"/>
        <v>184</v>
      </c>
      <c r="C227" s="301" t="s">
        <v>394</v>
      </c>
      <c r="D227" s="251" t="s">
        <v>393</v>
      </c>
      <c r="E227" s="252" t="s">
        <v>175</v>
      </c>
      <c r="F227" s="251">
        <v>6</v>
      </c>
      <c r="G227" s="303">
        <v>0</v>
      </c>
      <c r="H227" s="303">
        <v>253.4</v>
      </c>
      <c r="I227" s="251"/>
      <c r="J227" s="272">
        <f t="shared" si="70"/>
        <v>253.4</v>
      </c>
      <c r="K227" s="272">
        <f t="shared" si="71"/>
        <v>1520.4</v>
      </c>
      <c r="L227" s="273"/>
      <c r="M227" s="274">
        <f t="shared" si="72"/>
        <v>0</v>
      </c>
      <c r="N227" s="275"/>
      <c r="O227" s="276">
        <f t="shared" si="73"/>
        <v>0</v>
      </c>
      <c r="P227" s="273">
        <f t="shared" si="74"/>
        <v>0</v>
      </c>
      <c r="Q227" s="276">
        <f t="shared" si="75"/>
        <v>0</v>
      </c>
      <c r="R227" s="277">
        <f t="shared" si="76"/>
        <v>0</v>
      </c>
      <c r="S227" s="276">
        <f t="shared" si="77"/>
        <v>6</v>
      </c>
      <c r="T227" s="276">
        <f t="shared" si="78"/>
        <v>1520.4</v>
      </c>
      <c r="U227" s="276"/>
      <c r="V227" s="249"/>
      <c r="W227" s="278">
        <f t="shared" si="60"/>
        <v>0</v>
      </c>
      <c r="X227" s="279"/>
      <c r="Y227" s="249"/>
    </row>
    <row r="228" spans="2:26" ht="18" customHeight="1">
      <c r="B228" s="266">
        <f t="shared" si="59"/>
        <v>185</v>
      </c>
      <c r="C228" s="301" t="s">
        <v>395</v>
      </c>
      <c r="D228" s="251" t="s">
        <v>396</v>
      </c>
      <c r="E228" s="252" t="s">
        <v>397</v>
      </c>
      <c r="F228" s="251">
        <v>1</v>
      </c>
      <c r="G228" s="303">
        <v>0</v>
      </c>
      <c r="H228" s="303">
        <v>1392.37</v>
      </c>
      <c r="I228" s="251"/>
      <c r="J228" s="272">
        <f t="shared" si="70"/>
        <v>1392.37</v>
      </c>
      <c r="K228" s="272">
        <f t="shared" si="71"/>
        <v>1392.37</v>
      </c>
      <c r="L228" s="273"/>
      <c r="M228" s="274">
        <f t="shared" si="72"/>
        <v>0</v>
      </c>
      <c r="N228" s="275"/>
      <c r="O228" s="276">
        <f t="shared" si="73"/>
        <v>0</v>
      </c>
      <c r="P228" s="273">
        <f t="shared" si="74"/>
        <v>0</v>
      </c>
      <c r="Q228" s="276">
        <f t="shared" si="75"/>
        <v>0</v>
      </c>
      <c r="R228" s="277">
        <f t="shared" si="76"/>
        <v>0</v>
      </c>
      <c r="S228" s="276">
        <f t="shared" si="77"/>
        <v>1</v>
      </c>
      <c r="T228" s="276">
        <f t="shared" si="78"/>
        <v>1392.37</v>
      </c>
      <c r="U228" s="276"/>
      <c r="V228" s="249"/>
      <c r="W228" s="278">
        <f t="shared" si="60"/>
        <v>0</v>
      </c>
      <c r="X228" s="279"/>
      <c r="Y228" s="249"/>
    </row>
    <row r="229" spans="2:26" ht="18" customHeight="1">
      <c r="B229" s="266">
        <f t="shared" si="59"/>
        <v>186</v>
      </c>
      <c r="C229" s="301"/>
      <c r="D229" s="251"/>
      <c r="E229" s="252"/>
      <c r="F229" s="251"/>
      <c r="G229" s="303"/>
      <c r="H229" s="303"/>
      <c r="I229" s="251"/>
      <c r="J229" s="272"/>
      <c r="K229" s="272"/>
      <c r="L229" s="273"/>
      <c r="M229" s="274"/>
      <c r="N229" s="275"/>
      <c r="O229" s="276"/>
      <c r="P229" s="273"/>
      <c r="Q229" s="276"/>
      <c r="R229" s="277"/>
      <c r="S229" s="276"/>
      <c r="T229" s="276"/>
      <c r="U229" s="276"/>
      <c r="V229" s="249"/>
      <c r="W229" s="278">
        <f t="shared" si="60"/>
        <v>0</v>
      </c>
      <c r="X229" s="279"/>
      <c r="Y229" s="249"/>
    </row>
    <row r="230" spans="2:26" s="304" customFormat="1" ht="18" customHeight="1">
      <c r="B230" s="281">
        <f t="shared" si="59"/>
        <v>187</v>
      </c>
      <c r="C230" s="305" t="s">
        <v>171</v>
      </c>
      <c r="D230" s="306"/>
      <c r="E230" s="307"/>
      <c r="F230" s="306"/>
      <c r="G230" s="308"/>
      <c r="H230" s="308"/>
      <c r="I230" s="306"/>
      <c r="J230" s="287"/>
      <c r="K230" s="309">
        <f>SUM(K197:K229)</f>
        <v>121114.79179999998</v>
      </c>
      <c r="L230" s="288"/>
      <c r="M230" s="309">
        <f>SUM(M197:M229)</f>
        <v>0</v>
      </c>
      <c r="N230" s="288"/>
      <c r="O230" s="287">
        <f>SUM(O197:O229)</f>
        <v>0</v>
      </c>
      <c r="P230" s="288"/>
      <c r="Q230" s="309">
        <f>SUM(Q197:Q229)</f>
        <v>0</v>
      </c>
      <c r="R230" s="289">
        <f>IFERROR(+Q230/K230,0)</f>
        <v>0</v>
      </c>
      <c r="S230" s="290"/>
      <c r="T230" s="290">
        <f>SUM(T197:T229)</f>
        <v>121114.79179999998</v>
      </c>
      <c r="U230" s="290"/>
      <c r="V230" s="249"/>
      <c r="W230" s="278">
        <f t="shared" si="60"/>
        <v>0</v>
      </c>
      <c r="X230" s="279"/>
      <c r="Y230" s="249"/>
      <c r="Z230" s="174"/>
    </row>
    <row r="231" spans="2:26" s="217" customFormat="1" ht="18" customHeight="1">
      <c r="B231" s="260">
        <f t="shared" si="59"/>
        <v>188</v>
      </c>
      <c r="C231" s="291" t="s">
        <v>398</v>
      </c>
      <c r="D231" s="310"/>
      <c r="E231" s="293"/>
      <c r="F231" s="310"/>
      <c r="G231" s="311"/>
      <c r="H231" s="311"/>
      <c r="I231" s="310"/>
      <c r="J231" s="295"/>
      <c r="K231" s="295"/>
      <c r="L231" s="299"/>
      <c r="M231" s="296"/>
      <c r="N231" s="297"/>
      <c r="O231" s="298"/>
      <c r="P231" s="299"/>
      <c r="Q231" s="298"/>
      <c r="R231" s="300"/>
      <c r="S231" s="298"/>
      <c r="T231" s="298"/>
      <c r="U231" s="298"/>
      <c r="V231" s="249"/>
      <c r="W231" s="278">
        <f t="shared" si="60"/>
        <v>0</v>
      </c>
      <c r="X231" s="279"/>
      <c r="Y231" s="249"/>
      <c r="Z231" s="174"/>
    </row>
    <row r="232" spans="2:26" ht="18" customHeight="1">
      <c r="B232" s="266">
        <f t="shared" si="59"/>
        <v>189</v>
      </c>
      <c r="C232" s="301" t="s">
        <v>399</v>
      </c>
      <c r="D232" s="251" t="s">
        <v>400</v>
      </c>
      <c r="E232" s="252" t="s">
        <v>372</v>
      </c>
      <c r="F232" s="251">
        <v>110.82</v>
      </c>
      <c r="G232" s="303">
        <v>0</v>
      </c>
      <c r="H232" s="303">
        <v>46.51</v>
      </c>
      <c r="I232" s="251"/>
      <c r="J232" s="272">
        <f t="shared" ref="J232:J262" si="79">I232+H232+G232</f>
        <v>46.51</v>
      </c>
      <c r="K232" s="272">
        <f t="shared" ref="K232:K262" si="80">J232*F232</f>
        <v>5154.2381999999998</v>
      </c>
      <c r="L232" s="273"/>
      <c r="M232" s="274">
        <f t="shared" ref="M232:M262" si="81">L232*J232</f>
        <v>0</v>
      </c>
      <c r="N232" s="275">
        <v>55.41</v>
      </c>
      <c r="O232" s="276">
        <f t="shared" ref="O232:O262" si="82">N232*J232</f>
        <v>2577.1190999999999</v>
      </c>
      <c r="P232" s="273">
        <f t="shared" ref="P232:P262" si="83">N232+L232</f>
        <v>55.41</v>
      </c>
      <c r="Q232" s="276">
        <f t="shared" ref="Q232:Q262" si="84">P232*J232</f>
        <v>2577.1190999999999</v>
      </c>
      <c r="R232" s="277">
        <f t="shared" ref="R232:R262" si="85">IFERROR(Q232/K232,0)</f>
        <v>0.5</v>
      </c>
      <c r="S232" s="276">
        <f t="shared" ref="S232:S262" si="86">F232-P232</f>
        <v>55.41</v>
      </c>
      <c r="T232" s="276">
        <f t="shared" ref="T232:T262" si="87">K232-Q232</f>
        <v>2577.1190999999999</v>
      </c>
      <c r="U232" s="276"/>
      <c r="V232" s="249"/>
      <c r="W232" s="278">
        <f t="shared" si="60"/>
        <v>0</v>
      </c>
      <c r="X232" s="279"/>
      <c r="Y232" s="249"/>
    </row>
    <row r="233" spans="2:26" ht="18" customHeight="1">
      <c r="B233" s="266">
        <f t="shared" si="59"/>
        <v>190</v>
      </c>
      <c r="C233" s="301" t="s">
        <v>399</v>
      </c>
      <c r="D233" s="251" t="s">
        <v>401</v>
      </c>
      <c r="E233" s="252" t="s">
        <v>372</v>
      </c>
      <c r="F233" s="251">
        <v>28.6</v>
      </c>
      <c r="G233" s="303">
        <v>0</v>
      </c>
      <c r="H233" s="303">
        <v>55.79</v>
      </c>
      <c r="I233" s="251"/>
      <c r="J233" s="272">
        <f t="shared" si="79"/>
        <v>55.79</v>
      </c>
      <c r="K233" s="272">
        <f t="shared" si="80"/>
        <v>1595.5940000000001</v>
      </c>
      <c r="L233" s="273"/>
      <c r="M233" s="274">
        <f t="shared" si="81"/>
        <v>0</v>
      </c>
      <c r="N233" s="275">
        <v>14.3</v>
      </c>
      <c r="O233" s="276">
        <f t="shared" si="82"/>
        <v>797.79700000000003</v>
      </c>
      <c r="P233" s="273">
        <f t="shared" si="83"/>
        <v>14.3</v>
      </c>
      <c r="Q233" s="276">
        <f t="shared" si="84"/>
        <v>797.79700000000003</v>
      </c>
      <c r="R233" s="277">
        <f t="shared" si="85"/>
        <v>0.5</v>
      </c>
      <c r="S233" s="276">
        <f t="shared" si="86"/>
        <v>14.3</v>
      </c>
      <c r="T233" s="276">
        <f t="shared" si="87"/>
        <v>797.79700000000003</v>
      </c>
      <c r="U233" s="276"/>
      <c r="V233" s="249"/>
      <c r="W233" s="278">
        <f t="shared" si="60"/>
        <v>0</v>
      </c>
      <c r="X233" s="279"/>
      <c r="Y233" s="249"/>
    </row>
    <row r="234" spans="2:26" ht="18" customHeight="1">
      <c r="B234" s="266">
        <f t="shared" si="59"/>
        <v>191</v>
      </c>
      <c r="C234" s="301" t="s">
        <v>399</v>
      </c>
      <c r="D234" s="251" t="s">
        <v>402</v>
      </c>
      <c r="E234" s="252" t="s">
        <v>372</v>
      </c>
      <c r="F234" s="251">
        <v>55.23</v>
      </c>
      <c r="G234" s="303">
        <v>0</v>
      </c>
      <c r="H234" s="303">
        <v>79.72</v>
      </c>
      <c r="I234" s="251"/>
      <c r="J234" s="272">
        <f t="shared" si="79"/>
        <v>79.72</v>
      </c>
      <c r="K234" s="272">
        <f t="shared" si="80"/>
        <v>4402.9355999999998</v>
      </c>
      <c r="L234" s="273"/>
      <c r="M234" s="274">
        <f t="shared" si="81"/>
        <v>0</v>
      </c>
      <c r="N234" s="275">
        <v>27.614999999999998</v>
      </c>
      <c r="O234" s="276">
        <f t="shared" si="82"/>
        <v>2201.4677999999999</v>
      </c>
      <c r="P234" s="273">
        <f t="shared" si="83"/>
        <v>27.614999999999998</v>
      </c>
      <c r="Q234" s="276">
        <f t="shared" si="84"/>
        <v>2201.4677999999999</v>
      </c>
      <c r="R234" s="277">
        <f t="shared" si="85"/>
        <v>0.5</v>
      </c>
      <c r="S234" s="276">
        <f t="shared" si="86"/>
        <v>27.614999999999998</v>
      </c>
      <c r="T234" s="276">
        <f t="shared" si="87"/>
        <v>2201.4677999999999</v>
      </c>
      <c r="U234" s="276"/>
      <c r="V234" s="249"/>
      <c r="W234" s="278">
        <f t="shared" si="60"/>
        <v>0</v>
      </c>
      <c r="X234" s="279"/>
      <c r="Y234" s="249"/>
    </row>
    <row r="235" spans="2:26" ht="18" customHeight="1">
      <c r="B235" s="266">
        <f t="shared" si="59"/>
        <v>192</v>
      </c>
      <c r="C235" s="301" t="s">
        <v>399</v>
      </c>
      <c r="D235" s="251" t="s">
        <v>403</v>
      </c>
      <c r="E235" s="252" t="s">
        <v>372</v>
      </c>
      <c r="F235" s="251">
        <v>10.97</v>
      </c>
      <c r="G235" s="303">
        <v>0</v>
      </c>
      <c r="H235" s="303">
        <v>87.25</v>
      </c>
      <c r="I235" s="251"/>
      <c r="J235" s="272">
        <f t="shared" si="79"/>
        <v>87.25</v>
      </c>
      <c r="K235" s="272">
        <f t="shared" si="80"/>
        <v>957.13250000000005</v>
      </c>
      <c r="L235" s="273"/>
      <c r="M235" s="274">
        <f t="shared" si="81"/>
        <v>0</v>
      </c>
      <c r="N235" s="275">
        <v>5.4850000000000003</v>
      </c>
      <c r="O235" s="276">
        <f t="shared" si="82"/>
        <v>478.56625000000003</v>
      </c>
      <c r="P235" s="273">
        <f t="shared" si="83"/>
        <v>5.4850000000000003</v>
      </c>
      <c r="Q235" s="276">
        <f t="shared" si="84"/>
        <v>478.56625000000003</v>
      </c>
      <c r="R235" s="277">
        <f t="shared" si="85"/>
        <v>0.5</v>
      </c>
      <c r="S235" s="276">
        <f t="shared" si="86"/>
        <v>5.4850000000000003</v>
      </c>
      <c r="T235" s="276">
        <f t="shared" si="87"/>
        <v>478.56625000000003</v>
      </c>
      <c r="U235" s="276"/>
      <c r="V235" s="249"/>
      <c r="W235" s="278">
        <f t="shared" si="60"/>
        <v>0</v>
      </c>
      <c r="X235" s="279"/>
      <c r="Y235" s="249"/>
    </row>
    <row r="236" spans="2:26" ht="18" customHeight="1">
      <c r="B236" s="266">
        <f t="shared" ref="B236:B299" si="88">B235+1</f>
        <v>193</v>
      </c>
      <c r="C236" s="301" t="s">
        <v>404</v>
      </c>
      <c r="D236" s="251" t="s">
        <v>405</v>
      </c>
      <c r="E236" s="252" t="s">
        <v>372</v>
      </c>
      <c r="F236" s="251">
        <v>2.1</v>
      </c>
      <c r="G236" s="303">
        <v>0</v>
      </c>
      <c r="H236" s="303">
        <v>62</v>
      </c>
      <c r="I236" s="251"/>
      <c r="J236" s="272">
        <f t="shared" si="79"/>
        <v>62</v>
      </c>
      <c r="K236" s="272">
        <f t="shared" si="80"/>
        <v>130.20000000000002</v>
      </c>
      <c r="L236" s="273"/>
      <c r="M236" s="274">
        <f t="shared" si="81"/>
        <v>0</v>
      </c>
      <c r="N236" s="275">
        <v>1.05</v>
      </c>
      <c r="O236" s="276">
        <f t="shared" si="82"/>
        <v>65.100000000000009</v>
      </c>
      <c r="P236" s="273">
        <f t="shared" si="83"/>
        <v>1.05</v>
      </c>
      <c r="Q236" s="276">
        <f t="shared" si="84"/>
        <v>65.100000000000009</v>
      </c>
      <c r="R236" s="277">
        <f t="shared" si="85"/>
        <v>0.5</v>
      </c>
      <c r="S236" s="276">
        <f t="shared" si="86"/>
        <v>1.05</v>
      </c>
      <c r="T236" s="276">
        <f t="shared" si="87"/>
        <v>65.100000000000009</v>
      </c>
      <c r="U236" s="276"/>
      <c r="V236" s="249"/>
      <c r="W236" s="278">
        <f t="shared" si="60"/>
        <v>0</v>
      </c>
      <c r="X236" s="279"/>
      <c r="Y236" s="249"/>
    </row>
    <row r="237" spans="2:26" ht="18" customHeight="1">
      <c r="B237" s="266">
        <f t="shared" si="88"/>
        <v>194</v>
      </c>
      <c r="C237" s="301" t="s">
        <v>404</v>
      </c>
      <c r="D237" s="251" t="s">
        <v>401</v>
      </c>
      <c r="E237" s="252" t="s">
        <v>372</v>
      </c>
      <c r="F237" s="251">
        <v>3.4</v>
      </c>
      <c r="G237" s="303">
        <v>0</v>
      </c>
      <c r="H237" s="303">
        <v>69.739999999999995</v>
      </c>
      <c r="I237" s="251"/>
      <c r="J237" s="272">
        <f t="shared" si="79"/>
        <v>69.739999999999995</v>
      </c>
      <c r="K237" s="272">
        <f t="shared" si="80"/>
        <v>237.11599999999999</v>
      </c>
      <c r="L237" s="273"/>
      <c r="M237" s="274">
        <f t="shared" si="81"/>
        <v>0</v>
      </c>
      <c r="N237" s="275">
        <v>1.7</v>
      </c>
      <c r="O237" s="276">
        <f t="shared" si="82"/>
        <v>118.55799999999999</v>
      </c>
      <c r="P237" s="273">
        <f t="shared" si="83"/>
        <v>1.7</v>
      </c>
      <c r="Q237" s="276">
        <f t="shared" si="84"/>
        <v>118.55799999999999</v>
      </c>
      <c r="R237" s="277">
        <f t="shared" si="85"/>
        <v>0.5</v>
      </c>
      <c r="S237" s="276">
        <f t="shared" si="86"/>
        <v>1.7</v>
      </c>
      <c r="T237" s="276">
        <f t="shared" si="87"/>
        <v>118.55799999999999</v>
      </c>
      <c r="U237" s="276"/>
      <c r="V237" s="249"/>
      <c r="W237" s="278">
        <f t="shared" si="60"/>
        <v>0</v>
      </c>
      <c r="X237" s="279"/>
      <c r="Y237" s="249"/>
    </row>
    <row r="238" spans="2:26" ht="18" customHeight="1">
      <c r="B238" s="266">
        <f t="shared" si="88"/>
        <v>195</v>
      </c>
      <c r="C238" s="301" t="s">
        <v>404</v>
      </c>
      <c r="D238" s="251" t="s">
        <v>402</v>
      </c>
      <c r="E238" s="252" t="s">
        <v>372</v>
      </c>
      <c r="F238" s="251">
        <v>5</v>
      </c>
      <c r="G238" s="303">
        <v>0</v>
      </c>
      <c r="H238" s="303">
        <v>75.39</v>
      </c>
      <c r="I238" s="251"/>
      <c r="J238" s="272">
        <f t="shared" si="79"/>
        <v>75.39</v>
      </c>
      <c r="K238" s="272">
        <f t="shared" si="80"/>
        <v>376.95</v>
      </c>
      <c r="L238" s="273"/>
      <c r="M238" s="274">
        <f t="shared" si="81"/>
        <v>0</v>
      </c>
      <c r="N238" s="275">
        <v>2.5</v>
      </c>
      <c r="O238" s="276">
        <f t="shared" si="82"/>
        <v>188.47499999999999</v>
      </c>
      <c r="P238" s="273">
        <f t="shared" si="83"/>
        <v>2.5</v>
      </c>
      <c r="Q238" s="276">
        <f t="shared" si="84"/>
        <v>188.47499999999999</v>
      </c>
      <c r="R238" s="277">
        <f t="shared" si="85"/>
        <v>0.5</v>
      </c>
      <c r="S238" s="276">
        <f t="shared" si="86"/>
        <v>2.5</v>
      </c>
      <c r="T238" s="276">
        <f t="shared" si="87"/>
        <v>188.47499999999999</v>
      </c>
      <c r="U238" s="276"/>
      <c r="V238" s="249"/>
      <c r="W238" s="278">
        <f t="shared" si="60"/>
        <v>0</v>
      </c>
      <c r="X238" s="279"/>
      <c r="Y238" s="249"/>
    </row>
    <row r="239" spans="2:26" ht="18" customHeight="1">
      <c r="B239" s="266">
        <f t="shared" si="88"/>
        <v>196</v>
      </c>
      <c r="C239" s="301" t="s">
        <v>406</v>
      </c>
      <c r="D239" s="251" t="s">
        <v>407</v>
      </c>
      <c r="E239" s="252" t="s">
        <v>372</v>
      </c>
      <c r="F239" s="251">
        <v>110.82</v>
      </c>
      <c r="G239" s="303">
        <v>0</v>
      </c>
      <c r="H239" s="303">
        <v>30.75</v>
      </c>
      <c r="I239" s="251"/>
      <c r="J239" s="272">
        <f t="shared" si="79"/>
        <v>30.75</v>
      </c>
      <c r="K239" s="272">
        <f t="shared" si="80"/>
        <v>3407.7149999999997</v>
      </c>
      <c r="L239" s="273"/>
      <c r="M239" s="274">
        <f t="shared" si="81"/>
        <v>0</v>
      </c>
      <c r="N239" s="275"/>
      <c r="O239" s="276">
        <f t="shared" si="82"/>
        <v>0</v>
      </c>
      <c r="P239" s="273">
        <f t="shared" si="83"/>
        <v>0</v>
      </c>
      <c r="Q239" s="276">
        <f t="shared" si="84"/>
        <v>0</v>
      </c>
      <c r="R239" s="277">
        <f t="shared" si="85"/>
        <v>0</v>
      </c>
      <c r="S239" s="276">
        <f t="shared" si="86"/>
        <v>110.82</v>
      </c>
      <c r="T239" s="276">
        <f t="shared" si="87"/>
        <v>3407.7149999999997</v>
      </c>
      <c r="U239" s="276"/>
      <c r="V239" s="249"/>
      <c r="W239" s="278">
        <f t="shared" si="60"/>
        <v>0</v>
      </c>
      <c r="X239" s="279"/>
      <c r="Y239" s="249"/>
    </row>
    <row r="240" spans="2:26" ht="18" customHeight="1">
      <c r="B240" s="266">
        <f t="shared" si="88"/>
        <v>197</v>
      </c>
      <c r="C240" s="301" t="s">
        <v>406</v>
      </c>
      <c r="D240" s="251" t="s">
        <v>408</v>
      </c>
      <c r="E240" s="252" t="s">
        <v>372</v>
      </c>
      <c r="F240" s="251">
        <v>34.1</v>
      </c>
      <c r="G240" s="303">
        <v>0</v>
      </c>
      <c r="H240" s="303">
        <v>33.75</v>
      </c>
      <c r="I240" s="251"/>
      <c r="J240" s="272">
        <f t="shared" si="79"/>
        <v>33.75</v>
      </c>
      <c r="K240" s="272">
        <f t="shared" si="80"/>
        <v>1150.875</v>
      </c>
      <c r="L240" s="273"/>
      <c r="M240" s="274">
        <f t="shared" si="81"/>
        <v>0</v>
      </c>
      <c r="N240" s="275"/>
      <c r="O240" s="276">
        <f t="shared" si="82"/>
        <v>0</v>
      </c>
      <c r="P240" s="273">
        <f t="shared" si="83"/>
        <v>0</v>
      </c>
      <c r="Q240" s="276">
        <f t="shared" si="84"/>
        <v>0</v>
      </c>
      <c r="R240" s="277">
        <f t="shared" si="85"/>
        <v>0</v>
      </c>
      <c r="S240" s="276">
        <f t="shared" si="86"/>
        <v>34.1</v>
      </c>
      <c r="T240" s="276">
        <f t="shared" si="87"/>
        <v>1150.875</v>
      </c>
      <c r="U240" s="276"/>
      <c r="V240" s="249"/>
      <c r="W240" s="278">
        <f t="shared" si="60"/>
        <v>0</v>
      </c>
      <c r="X240" s="279"/>
      <c r="Y240" s="249"/>
    </row>
    <row r="241" spans="2:25" ht="18" customHeight="1">
      <c r="B241" s="266">
        <f t="shared" si="88"/>
        <v>198</v>
      </c>
      <c r="C241" s="301" t="s">
        <v>406</v>
      </c>
      <c r="D241" s="251" t="s">
        <v>409</v>
      </c>
      <c r="E241" s="252" t="s">
        <v>372</v>
      </c>
      <c r="F241" s="251">
        <v>60.23</v>
      </c>
      <c r="G241" s="303">
        <v>0</v>
      </c>
      <c r="H241" s="303">
        <v>46.44</v>
      </c>
      <c r="I241" s="251"/>
      <c r="J241" s="272">
        <f t="shared" si="79"/>
        <v>46.44</v>
      </c>
      <c r="K241" s="272">
        <f t="shared" si="80"/>
        <v>2797.0811999999996</v>
      </c>
      <c r="L241" s="273"/>
      <c r="M241" s="274">
        <f t="shared" si="81"/>
        <v>0</v>
      </c>
      <c r="N241" s="275"/>
      <c r="O241" s="276">
        <f t="shared" si="82"/>
        <v>0</v>
      </c>
      <c r="P241" s="273">
        <f t="shared" si="83"/>
        <v>0</v>
      </c>
      <c r="Q241" s="276">
        <f t="shared" si="84"/>
        <v>0</v>
      </c>
      <c r="R241" s="277">
        <f t="shared" si="85"/>
        <v>0</v>
      </c>
      <c r="S241" s="276">
        <f t="shared" si="86"/>
        <v>60.23</v>
      </c>
      <c r="T241" s="276">
        <f t="shared" si="87"/>
        <v>2797.0811999999996</v>
      </c>
      <c r="U241" s="276"/>
      <c r="V241" s="249"/>
      <c r="W241" s="278">
        <f t="shared" ref="W241:W304" si="89">M241-V241</f>
        <v>0</v>
      </c>
      <c r="X241" s="279"/>
      <c r="Y241" s="249"/>
    </row>
    <row r="242" spans="2:25" ht="18" customHeight="1">
      <c r="B242" s="266">
        <f t="shared" si="88"/>
        <v>199</v>
      </c>
      <c r="C242" s="301" t="s">
        <v>406</v>
      </c>
      <c r="D242" s="251" t="s">
        <v>410</v>
      </c>
      <c r="E242" s="252" t="s">
        <v>372</v>
      </c>
      <c r="F242" s="251">
        <v>10.97</v>
      </c>
      <c r="G242" s="303">
        <v>0</v>
      </c>
      <c r="H242" s="303">
        <v>55.02</v>
      </c>
      <c r="I242" s="251"/>
      <c r="J242" s="272">
        <f t="shared" si="79"/>
        <v>55.02</v>
      </c>
      <c r="K242" s="272">
        <f t="shared" si="80"/>
        <v>603.56940000000009</v>
      </c>
      <c r="L242" s="273"/>
      <c r="M242" s="274">
        <f t="shared" si="81"/>
        <v>0</v>
      </c>
      <c r="N242" s="275"/>
      <c r="O242" s="276">
        <f t="shared" si="82"/>
        <v>0</v>
      </c>
      <c r="P242" s="273">
        <f t="shared" si="83"/>
        <v>0</v>
      </c>
      <c r="Q242" s="276">
        <f t="shared" si="84"/>
        <v>0</v>
      </c>
      <c r="R242" s="277">
        <f t="shared" si="85"/>
        <v>0</v>
      </c>
      <c r="S242" s="276">
        <f t="shared" si="86"/>
        <v>10.97</v>
      </c>
      <c r="T242" s="276">
        <f t="shared" si="87"/>
        <v>603.56940000000009</v>
      </c>
      <c r="U242" s="276"/>
      <c r="V242" s="249"/>
      <c r="W242" s="278">
        <f t="shared" si="89"/>
        <v>0</v>
      </c>
      <c r="X242" s="279"/>
      <c r="Y242" s="249"/>
    </row>
    <row r="243" spans="2:25" ht="18" customHeight="1">
      <c r="B243" s="266">
        <f t="shared" si="88"/>
        <v>200</v>
      </c>
      <c r="C243" s="301" t="s">
        <v>411</v>
      </c>
      <c r="D243" s="251" t="s">
        <v>412</v>
      </c>
      <c r="E243" s="252" t="s">
        <v>175</v>
      </c>
      <c r="F243" s="251">
        <v>2</v>
      </c>
      <c r="G243" s="303">
        <v>0</v>
      </c>
      <c r="H243" s="303">
        <v>34.869999999999997</v>
      </c>
      <c r="I243" s="251"/>
      <c r="J243" s="272">
        <f t="shared" si="79"/>
        <v>34.869999999999997</v>
      </c>
      <c r="K243" s="272">
        <f t="shared" si="80"/>
        <v>69.739999999999995</v>
      </c>
      <c r="L243" s="273"/>
      <c r="M243" s="274">
        <f t="shared" si="81"/>
        <v>0</v>
      </c>
      <c r="N243" s="275"/>
      <c r="O243" s="276">
        <f t="shared" si="82"/>
        <v>0</v>
      </c>
      <c r="P243" s="273">
        <f t="shared" si="83"/>
        <v>0</v>
      </c>
      <c r="Q243" s="276">
        <f t="shared" si="84"/>
        <v>0</v>
      </c>
      <c r="R243" s="277">
        <f t="shared" si="85"/>
        <v>0</v>
      </c>
      <c r="S243" s="276">
        <f t="shared" si="86"/>
        <v>2</v>
      </c>
      <c r="T243" s="276">
        <f t="shared" si="87"/>
        <v>69.739999999999995</v>
      </c>
      <c r="U243" s="276"/>
      <c r="V243" s="249"/>
      <c r="W243" s="278">
        <f t="shared" si="89"/>
        <v>0</v>
      </c>
      <c r="X243" s="279"/>
      <c r="Y243" s="249"/>
    </row>
    <row r="244" spans="2:25" ht="18" customHeight="1">
      <c r="B244" s="266">
        <f t="shared" si="88"/>
        <v>201</v>
      </c>
      <c r="C244" s="301" t="s">
        <v>411</v>
      </c>
      <c r="D244" s="251" t="s">
        <v>413</v>
      </c>
      <c r="E244" s="252" t="s">
        <v>175</v>
      </c>
      <c r="F244" s="251">
        <v>2</v>
      </c>
      <c r="G244" s="303">
        <v>0</v>
      </c>
      <c r="H244" s="303">
        <v>34.869999999999997</v>
      </c>
      <c r="I244" s="251"/>
      <c r="J244" s="272">
        <f t="shared" si="79"/>
        <v>34.869999999999997</v>
      </c>
      <c r="K244" s="272">
        <f t="shared" si="80"/>
        <v>69.739999999999995</v>
      </c>
      <c r="L244" s="273"/>
      <c r="M244" s="274">
        <f t="shared" si="81"/>
        <v>0</v>
      </c>
      <c r="N244" s="275"/>
      <c r="O244" s="276">
        <f t="shared" si="82"/>
        <v>0</v>
      </c>
      <c r="P244" s="273">
        <f t="shared" si="83"/>
        <v>0</v>
      </c>
      <c r="Q244" s="276">
        <f t="shared" si="84"/>
        <v>0</v>
      </c>
      <c r="R244" s="277">
        <f t="shared" si="85"/>
        <v>0</v>
      </c>
      <c r="S244" s="276">
        <f t="shared" si="86"/>
        <v>2</v>
      </c>
      <c r="T244" s="276">
        <f t="shared" si="87"/>
        <v>69.739999999999995</v>
      </c>
      <c r="U244" s="276"/>
      <c r="V244" s="249"/>
      <c r="W244" s="278">
        <f t="shared" si="89"/>
        <v>0</v>
      </c>
      <c r="X244" s="279"/>
      <c r="Y244" s="249"/>
    </row>
    <row r="245" spans="2:25" ht="18" customHeight="1">
      <c r="B245" s="266">
        <f t="shared" si="88"/>
        <v>202</v>
      </c>
      <c r="C245" s="301" t="s">
        <v>411</v>
      </c>
      <c r="D245" s="251" t="s">
        <v>414</v>
      </c>
      <c r="E245" s="252" t="s">
        <v>175</v>
      </c>
      <c r="F245" s="251">
        <v>5</v>
      </c>
      <c r="G245" s="303">
        <v>0</v>
      </c>
      <c r="H245" s="303">
        <v>51.6</v>
      </c>
      <c r="I245" s="251"/>
      <c r="J245" s="272">
        <f t="shared" si="79"/>
        <v>51.6</v>
      </c>
      <c r="K245" s="272">
        <f t="shared" si="80"/>
        <v>258</v>
      </c>
      <c r="L245" s="273"/>
      <c r="M245" s="274">
        <f t="shared" si="81"/>
        <v>0</v>
      </c>
      <c r="N245" s="275"/>
      <c r="O245" s="276">
        <f t="shared" si="82"/>
        <v>0</v>
      </c>
      <c r="P245" s="273">
        <f t="shared" si="83"/>
        <v>0</v>
      </c>
      <c r="Q245" s="276">
        <f t="shared" si="84"/>
        <v>0</v>
      </c>
      <c r="R245" s="277">
        <f t="shared" si="85"/>
        <v>0</v>
      </c>
      <c r="S245" s="276">
        <f t="shared" si="86"/>
        <v>5</v>
      </c>
      <c r="T245" s="276">
        <f t="shared" si="87"/>
        <v>258</v>
      </c>
      <c r="U245" s="276"/>
      <c r="V245" s="249"/>
      <c r="W245" s="278">
        <f t="shared" si="89"/>
        <v>0</v>
      </c>
      <c r="X245" s="279"/>
      <c r="Y245" s="249"/>
    </row>
    <row r="246" spans="2:25" ht="18" customHeight="1">
      <c r="B246" s="266">
        <f t="shared" si="88"/>
        <v>203</v>
      </c>
      <c r="C246" s="301" t="s">
        <v>411</v>
      </c>
      <c r="D246" s="251" t="s">
        <v>415</v>
      </c>
      <c r="E246" s="252" t="s">
        <v>175</v>
      </c>
      <c r="F246" s="251">
        <v>1</v>
      </c>
      <c r="G246" s="303">
        <v>0</v>
      </c>
      <c r="H246" s="303">
        <v>51.6</v>
      </c>
      <c r="I246" s="251"/>
      <c r="J246" s="272">
        <f t="shared" si="79"/>
        <v>51.6</v>
      </c>
      <c r="K246" s="272">
        <f t="shared" si="80"/>
        <v>51.6</v>
      </c>
      <c r="L246" s="273"/>
      <c r="M246" s="274">
        <f t="shared" si="81"/>
        <v>0</v>
      </c>
      <c r="N246" s="275"/>
      <c r="O246" s="276">
        <f t="shared" si="82"/>
        <v>0</v>
      </c>
      <c r="P246" s="273">
        <f t="shared" si="83"/>
        <v>0</v>
      </c>
      <c r="Q246" s="276">
        <f t="shared" si="84"/>
        <v>0</v>
      </c>
      <c r="R246" s="277">
        <f t="shared" si="85"/>
        <v>0</v>
      </c>
      <c r="S246" s="276">
        <f t="shared" si="86"/>
        <v>1</v>
      </c>
      <c r="T246" s="276">
        <f t="shared" si="87"/>
        <v>51.6</v>
      </c>
      <c r="U246" s="276"/>
      <c r="V246" s="249"/>
      <c r="W246" s="278">
        <f t="shared" si="89"/>
        <v>0</v>
      </c>
      <c r="X246" s="279"/>
      <c r="Y246" s="249"/>
    </row>
    <row r="247" spans="2:25" ht="18" customHeight="1">
      <c r="B247" s="266">
        <f t="shared" si="88"/>
        <v>204</v>
      </c>
      <c r="C247" s="301" t="s">
        <v>416</v>
      </c>
      <c r="D247" s="251" t="s">
        <v>376</v>
      </c>
      <c r="E247" s="252" t="s">
        <v>417</v>
      </c>
      <c r="F247" s="251">
        <v>16</v>
      </c>
      <c r="G247" s="303">
        <v>0</v>
      </c>
      <c r="H247" s="303">
        <v>225.99</v>
      </c>
      <c r="I247" s="251"/>
      <c r="J247" s="272">
        <f t="shared" si="79"/>
        <v>225.99</v>
      </c>
      <c r="K247" s="272">
        <f t="shared" si="80"/>
        <v>3615.84</v>
      </c>
      <c r="L247" s="273"/>
      <c r="M247" s="274">
        <f t="shared" si="81"/>
        <v>0</v>
      </c>
      <c r="N247" s="275"/>
      <c r="O247" s="276">
        <f t="shared" si="82"/>
        <v>0</v>
      </c>
      <c r="P247" s="273">
        <f t="shared" si="83"/>
        <v>0</v>
      </c>
      <c r="Q247" s="276">
        <f t="shared" si="84"/>
        <v>0</v>
      </c>
      <c r="R247" s="277">
        <f t="shared" si="85"/>
        <v>0</v>
      </c>
      <c r="S247" s="276">
        <f t="shared" si="86"/>
        <v>16</v>
      </c>
      <c r="T247" s="276">
        <f t="shared" si="87"/>
        <v>3615.84</v>
      </c>
      <c r="U247" s="276"/>
      <c r="V247" s="249"/>
      <c r="W247" s="278">
        <f t="shared" si="89"/>
        <v>0</v>
      </c>
      <c r="X247" s="279"/>
      <c r="Y247" s="249"/>
    </row>
    <row r="248" spans="2:25" ht="18" customHeight="1">
      <c r="B248" s="266">
        <f t="shared" si="88"/>
        <v>205</v>
      </c>
      <c r="C248" s="301" t="s">
        <v>418</v>
      </c>
      <c r="D248" s="251" t="s">
        <v>412</v>
      </c>
      <c r="E248" s="252" t="s">
        <v>175</v>
      </c>
      <c r="F248" s="251">
        <v>2</v>
      </c>
      <c r="G248" s="303">
        <v>0</v>
      </c>
      <c r="H248" s="303">
        <v>34.869999999999997</v>
      </c>
      <c r="I248" s="251"/>
      <c r="J248" s="272">
        <f t="shared" si="79"/>
        <v>34.869999999999997</v>
      </c>
      <c r="K248" s="272">
        <f t="shared" si="80"/>
        <v>69.739999999999995</v>
      </c>
      <c r="L248" s="273"/>
      <c r="M248" s="274">
        <f t="shared" si="81"/>
        <v>0</v>
      </c>
      <c r="N248" s="275"/>
      <c r="O248" s="276">
        <f t="shared" si="82"/>
        <v>0</v>
      </c>
      <c r="P248" s="273">
        <f t="shared" si="83"/>
        <v>0</v>
      </c>
      <c r="Q248" s="276">
        <f t="shared" si="84"/>
        <v>0</v>
      </c>
      <c r="R248" s="277">
        <f t="shared" si="85"/>
        <v>0</v>
      </c>
      <c r="S248" s="276">
        <f t="shared" si="86"/>
        <v>2</v>
      </c>
      <c r="T248" s="276">
        <f t="shared" si="87"/>
        <v>69.739999999999995</v>
      </c>
      <c r="U248" s="276"/>
      <c r="V248" s="249"/>
      <c r="W248" s="278">
        <f t="shared" si="89"/>
        <v>0</v>
      </c>
      <c r="X248" s="279"/>
      <c r="Y248" s="249"/>
    </row>
    <row r="249" spans="2:25" ht="18" customHeight="1">
      <c r="B249" s="266">
        <f t="shared" si="88"/>
        <v>206</v>
      </c>
      <c r="C249" s="301" t="s">
        <v>418</v>
      </c>
      <c r="D249" s="251" t="s">
        <v>413</v>
      </c>
      <c r="E249" s="252" t="s">
        <v>175</v>
      </c>
      <c r="F249" s="251">
        <v>2</v>
      </c>
      <c r="G249" s="303">
        <v>0</v>
      </c>
      <c r="H249" s="303">
        <v>34.869999999999997</v>
      </c>
      <c r="I249" s="251"/>
      <c r="J249" s="272">
        <f t="shared" si="79"/>
        <v>34.869999999999997</v>
      </c>
      <c r="K249" s="272">
        <f t="shared" si="80"/>
        <v>69.739999999999995</v>
      </c>
      <c r="L249" s="273"/>
      <c r="M249" s="274">
        <f t="shared" si="81"/>
        <v>0</v>
      </c>
      <c r="N249" s="275"/>
      <c r="O249" s="276">
        <f t="shared" si="82"/>
        <v>0</v>
      </c>
      <c r="P249" s="273">
        <f t="shared" si="83"/>
        <v>0</v>
      </c>
      <c r="Q249" s="276">
        <f t="shared" si="84"/>
        <v>0</v>
      </c>
      <c r="R249" s="277">
        <f t="shared" si="85"/>
        <v>0</v>
      </c>
      <c r="S249" s="276">
        <f t="shared" si="86"/>
        <v>2</v>
      </c>
      <c r="T249" s="276">
        <f t="shared" si="87"/>
        <v>69.739999999999995</v>
      </c>
      <c r="U249" s="276"/>
      <c r="V249" s="249"/>
      <c r="W249" s="278">
        <f t="shared" si="89"/>
        <v>0</v>
      </c>
      <c r="X249" s="279"/>
      <c r="Y249" s="249"/>
    </row>
    <row r="250" spans="2:25" ht="18" customHeight="1">
      <c r="B250" s="266">
        <f t="shared" si="88"/>
        <v>207</v>
      </c>
      <c r="C250" s="301" t="s">
        <v>419</v>
      </c>
      <c r="D250" s="251" t="s">
        <v>412</v>
      </c>
      <c r="E250" s="252" t="s">
        <v>175</v>
      </c>
      <c r="F250" s="251">
        <v>2</v>
      </c>
      <c r="G250" s="303">
        <v>0</v>
      </c>
      <c r="H250" s="303">
        <v>34.869999999999997</v>
      </c>
      <c r="I250" s="251"/>
      <c r="J250" s="272">
        <f t="shared" si="79"/>
        <v>34.869999999999997</v>
      </c>
      <c r="K250" s="272">
        <f t="shared" si="80"/>
        <v>69.739999999999995</v>
      </c>
      <c r="L250" s="273"/>
      <c r="M250" s="274">
        <f t="shared" si="81"/>
        <v>0</v>
      </c>
      <c r="N250" s="275"/>
      <c r="O250" s="276">
        <f t="shared" si="82"/>
        <v>0</v>
      </c>
      <c r="P250" s="273">
        <f t="shared" si="83"/>
        <v>0</v>
      </c>
      <c r="Q250" s="276">
        <f t="shared" si="84"/>
        <v>0</v>
      </c>
      <c r="R250" s="277">
        <f t="shared" si="85"/>
        <v>0</v>
      </c>
      <c r="S250" s="276">
        <f t="shared" si="86"/>
        <v>2</v>
      </c>
      <c r="T250" s="276">
        <f t="shared" si="87"/>
        <v>69.739999999999995</v>
      </c>
      <c r="U250" s="276"/>
      <c r="V250" s="249"/>
      <c r="W250" s="278">
        <f t="shared" si="89"/>
        <v>0</v>
      </c>
      <c r="X250" s="279"/>
      <c r="Y250" s="249"/>
    </row>
    <row r="251" spans="2:25" ht="18" customHeight="1">
      <c r="B251" s="266">
        <f t="shared" si="88"/>
        <v>208</v>
      </c>
      <c r="C251" s="301" t="s">
        <v>419</v>
      </c>
      <c r="D251" s="251" t="s">
        <v>413</v>
      </c>
      <c r="E251" s="252" t="s">
        <v>175</v>
      </c>
      <c r="F251" s="251">
        <v>2</v>
      </c>
      <c r="G251" s="303">
        <v>0</v>
      </c>
      <c r="H251" s="303">
        <v>34.869999999999997</v>
      </c>
      <c r="I251" s="251"/>
      <c r="J251" s="272">
        <f t="shared" si="79"/>
        <v>34.869999999999997</v>
      </c>
      <c r="K251" s="272">
        <f t="shared" si="80"/>
        <v>69.739999999999995</v>
      </c>
      <c r="L251" s="273"/>
      <c r="M251" s="274">
        <f t="shared" si="81"/>
        <v>0</v>
      </c>
      <c r="N251" s="275"/>
      <c r="O251" s="276">
        <f t="shared" si="82"/>
        <v>0</v>
      </c>
      <c r="P251" s="273">
        <f t="shared" si="83"/>
        <v>0</v>
      </c>
      <c r="Q251" s="276">
        <f t="shared" si="84"/>
        <v>0</v>
      </c>
      <c r="R251" s="277">
        <f t="shared" si="85"/>
        <v>0</v>
      </c>
      <c r="S251" s="276">
        <f t="shared" si="86"/>
        <v>2</v>
      </c>
      <c r="T251" s="276">
        <f t="shared" si="87"/>
        <v>69.739999999999995</v>
      </c>
      <c r="U251" s="276"/>
      <c r="V251" s="249"/>
      <c r="W251" s="278">
        <f t="shared" si="89"/>
        <v>0</v>
      </c>
      <c r="X251" s="279"/>
      <c r="Y251" s="249"/>
    </row>
    <row r="252" spans="2:25" ht="18" customHeight="1">
      <c r="B252" s="266">
        <f t="shared" si="88"/>
        <v>209</v>
      </c>
      <c r="C252" s="301" t="s">
        <v>420</v>
      </c>
      <c r="D252" s="251" t="s">
        <v>412</v>
      </c>
      <c r="E252" s="252" t="s">
        <v>175</v>
      </c>
      <c r="F252" s="251">
        <v>1</v>
      </c>
      <c r="G252" s="303">
        <v>0</v>
      </c>
      <c r="H252" s="303">
        <v>34.869999999999997</v>
      </c>
      <c r="I252" s="251"/>
      <c r="J252" s="272">
        <f t="shared" si="79"/>
        <v>34.869999999999997</v>
      </c>
      <c r="K252" s="272">
        <f t="shared" si="80"/>
        <v>34.869999999999997</v>
      </c>
      <c r="L252" s="273"/>
      <c r="M252" s="274">
        <f t="shared" si="81"/>
        <v>0</v>
      </c>
      <c r="N252" s="275"/>
      <c r="O252" s="276">
        <f t="shared" si="82"/>
        <v>0</v>
      </c>
      <c r="P252" s="273">
        <f t="shared" si="83"/>
        <v>0</v>
      </c>
      <c r="Q252" s="276">
        <f t="shared" si="84"/>
        <v>0</v>
      </c>
      <c r="R252" s="277">
        <f t="shared" si="85"/>
        <v>0</v>
      </c>
      <c r="S252" s="276">
        <f t="shared" si="86"/>
        <v>1</v>
      </c>
      <c r="T252" s="276">
        <f t="shared" si="87"/>
        <v>34.869999999999997</v>
      </c>
      <c r="U252" s="276"/>
      <c r="V252" s="249"/>
      <c r="W252" s="278">
        <f t="shared" si="89"/>
        <v>0</v>
      </c>
      <c r="X252" s="279"/>
      <c r="Y252" s="249"/>
    </row>
    <row r="253" spans="2:25" ht="18" customHeight="1">
      <c r="B253" s="266">
        <f t="shared" si="88"/>
        <v>210</v>
      </c>
      <c r="C253" s="301" t="s">
        <v>421</v>
      </c>
      <c r="D253" s="251" t="s">
        <v>422</v>
      </c>
      <c r="E253" s="252" t="s">
        <v>234</v>
      </c>
      <c r="F253" s="251">
        <v>1</v>
      </c>
      <c r="G253" s="303">
        <v>0</v>
      </c>
      <c r="H253" s="303">
        <v>34.869999999999997</v>
      </c>
      <c r="I253" s="251"/>
      <c r="J253" s="272">
        <f t="shared" si="79"/>
        <v>34.869999999999997</v>
      </c>
      <c r="K253" s="272">
        <f t="shared" si="80"/>
        <v>34.869999999999997</v>
      </c>
      <c r="L253" s="273"/>
      <c r="M253" s="274">
        <f t="shared" si="81"/>
        <v>0</v>
      </c>
      <c r="N253" s="275"/>
      <c r="O253" s="276">
        <f t="shared" si="82"/>
        <v>0</v>
      </c>
      <c r="P253" s="273">
        <f t="shared" si="83"/>
        <v>0</v>
      </c>
      <c r="Q253" s="276">
        <f t="shared" si="84"/>
        <v>0</v>
      </c>
      <c r="R253" s="277">
        <f t="shared" si="85"/>
        <v>0</v>
      </c>
      <c r="S253" s="276">
        <f t="shared" si="86"/>
        <v>1</v>
      </c>
      <c r="T253" s="276">
        <f t="shared" si="87"/>
        <v>34.869999999999997</v>
      </c>
      <c r="U253" s="276"/>
      <c r="V253" s="249"/>
      <c r="W253" s="278">
        <f t="shared" si="89"/>
        <v>0</v>
      </c>
      <c r="X253" s="279"/>
      <c r="Y253" s="249"/>
    </row>
    <row r="254" spans="2:25" ht="18" customHeight="1">
      <c r="B254" s="266">
        <f t="shared" si="88"/>
        <v>211</v>
      </c>
      <c r="C254" s="301" t="s">
        <v>423</v>
      </c>
      <c r="D254" s="251" t="s">
        <v>424</v>
      </c>
      <c r="E254" s="252" t="s">
        <v>234</v>
      </c>
      <c r="F254" s="251">
        <v>1</v>
      </c>
      <c r="G254" s="303">
        <v>0</v>
      </c>
      <c r="H254" s="303">
        <v>34.869999999999997</v>
      </c>
      <c r="I254" s="251"/>
      <c r="J254" s="272">
        <f t="shared" si="79"/>
        <v>34.869999999999997</v>
      </c>
      <c r="K254" s="272">
        <f t="shared" si="80"/>
        <v>34.869999999999997</v>
      </c>
      <c r="L254" s="273"/>
      <c r="M254" s="274">
        <f t="shared" si="81"/>
        <v>0</v>
      </c>
      <c r="N254" s="275"/>
      <c r="O254" s="276">
        <f t="shared" si="82"/>
        <v>0</v>
      </c>
      <c r="P254" s="273">
        <f t="shared" si="83"/>
        <v>0</v>
      </c>
      <c r="Q254" s="276">
        <f t="shared" si="84"/>
        <v>0</v>
      </c>
      <c r="R254" s="277">
        <f t="shared" si="85"/>
        <v>0</v>
      </c>
      <c r="S254" s="276">
        <f t="shared" si="86"/>
        <v>1</v>
      </c>
      <c r="T254" s="276">
        <f t="shared" si="87"/>
        <v>34.869999999999997</v>
      </c>
      <c r="U254" s="276"/>
      <c r="V254" s="249"/>
      <c r="W254" s="278">
        <f t="shared" si="89"/>
        <v>0</v>
      </c>
      <c r="X254" s="279"/>
      <c r="Y254" s="249"/>
    </row>
    <row r="255" spans="2:25" ht="18" customHeight="1">
      <c r="B255" s="266">
        <f t="shared" si="88"/>
        <v>212</v>
      </c>
      <c r="C255" s="301" t="s">
        <v>425</v>
      </c>
      <c r="D255" s="251" t="s">
        <v>426</v>
      </c>
      <c r="E255" s="252" t="s">
        <v>234</v>
      </c>
      <c r="F255" s="251">
        <v>1</v>
      </c>
      <c r="G255" s="303">
        <v>0</v>
      </c>
      <c r="H255" s="303">
        <v>1046.28</v>
      </c>
      <c r="I255" s="251"/>
      <c r="J255" s="272">
        <f t="shared" si="79"/>
        <v>1046.28</v>
      </c>
      <c r="K255" s="272">
        <f t="shared" si="80"/>
        <v>1046.28</v>
      </c>
      <c r="L255" s="273"/>
      <c r="M255" s="274">
        <f t="shared" si="81"/>
        <v>0</v>
      </c>
      <c r="N255" s="275"/>
      <c r="O255" s="276">
        <f t="shared" si="82"/>
        <v>0</v>
      </c>
      <c r="P255" s="273">
        <f t="shared" si="83"/>
        <v>0</v>
      </c>
      <c r="Q255" s="276">
        <f t="shared" si="84"/>
        <v>0</v>
      </c>
      <c r="R255" s="277">
        <f t="shared" si="85"/>
        <v>0</v>
      </c>
      <c r="S255" s="276">
        <f t="shared" si="86"/>
        <v>1</v>
      </c>
      <c r="T255" s="276">
        <f t="shared" si="87"/>
        <v>1046.28</v>
      </c>
      <c r="U255" s="276"/>
      <c r="V255" s="249"/>
      <c r="W255" s="278">
        <f t="shared" si="89"/>
        <v>0</v>
      </c>
      <c r="X255" s="279"/>
      <c r="Y255" s="249"/>
    </row>
    <row r="256" spans="2:25" ht="18" customHeight="1">
      <c r="B256" s="266">
        <f t="shared" si="88"/>
        <v>213</v>
      </c>
      <c r="C256" s="301" t="s">
        <v>427</v>
      </c>
      <c r="D256" s="251" t="s">
        <v>428</v>
      </c>
      <c r="E256" s="252" t="s">
        <v>234</v>
      </c>
      <c r="F256" s="251">
        <v>1</v>
      </c>
      <c r="G256" s="303">
        <v>0</v>
      </c>
      <c r="H256" s="303">
        <v>1046.28</v>
      </c>
      <c r="I256" s="251"/>
      <c r="J256" s="272">
        <f t="shared" si="79"/>
        <v>1046.28</v>
      </c>
      <c r="K256" s="272">
        <f t="shared" si="80"/>
        <v>1046.28</v>
      </c>
      <c r="L256" s="273"/>
      <c r="M256" s="274">
        <f t="shared" si="81"/>
        <v>0</v>
      </c>
      <c r="N256" s="275"/>
      <c r="O256" s="276">
        <f t="shared" si="82"/>
        <v>0</v>
      </c>
      <c r="P256" s="273">
        <f t="shared" si="83"/>
        <v>0</v>
      </c>
      <c r="Q256" s="276">
        <f t="shared" si="84"/>
        <v>0</v>
      </c>
      <c r="R256" s="277">
        <f t="shared" si="85"/>
        <v>0</v>
      </c>
      <c r="S256" s="276">
        <f t="shared" si="86"/>
        <v>1</v>
      </c>
      <c r="T256" s="276">
        <f t="shared" si="87"/>
        <v>1046.28</v>
      </c>
      <c r="U256" s="276"/>
      <c r="V256" s="249"/>
      <c r="W256" s="278">
        <f t="shared" si="89"/>
        <v>0</v>
      </c>
      <c r="X256" s="279"/>
      <c r="Y256" s="249"/>
    </row>
    <row r="257" spans="2:26" ht="18" customHeight="1">
      <c r="B257" s="266">
        <f t="shared" si="88"/>
        <v>214</v>
      </c>
      <c r="C257" s="301" t="s">
        <v>429</v>
      </c>
      <c r="D257" s="251" t="s">
        <v>430</v>
      </c>
      <c r="E257" s="252" t="s">
        <v>175</v>
      </c>
      <c r="F257" s="251">
        <v>1</v>
      </c>
      <c r="G257" s="303">
        <v>0</v>
      </c>
      <c r="H257" s="303">
        <v>601.25</v>
      </c>
      <c r="I257" s="251"/>
      <c r="J257" s="272">
        <f t="shared" si="79"/>
        <v>601.25</v>
      </c>
      <c r="K257" s="272">
        <f t="shared" si="80"/>
        <v>601.25</v>
      </c>
      <c r="L257" s="273"/>
      <c r="M257" s="274">
        <f t="shared" si="81"/>
        <v>0</v>
      </c>
      <c r="N257" s="275"/>
      <c r="O257" s="276">
        <f t="shared" si="82"/>
        <v>0</v>
      </c>
      <c r="P257" s="273">
        <f t="shared" si="83"/>
        <v>0</v>
      </c>
      <c r="Q257" s="276">
        <f t="shared" si="84"/>
        <v>0</v>
      </c>
      <c r="R257" s="277">
        <f t="shared" si="85"/>
        <v>0</v>
      </c>
      <c r="S257" s="276">
        <f t="shared" si="86"/>
        <v>1</v>
      </c>
      <c r="T257" s="276">
        <f t="shared" si="87"/>
        <v>601.25</v>
      </c>
      <c r="U257" s="276"/>
      <c r="V257" s="249"/>
      <c r="W257" s="278">
        <f t="shared" si="89"/>
        <v>0</v>
      </c>
      <c r="X257" s="279"/>
      <c r="Y257" s="249"/>
    </row>
    <row r="258" spans="2:26" ht="18" customHeight="1">
      <c r="B258" s="266">
        <f t="shared" si="88"/>
        <v>215</v>
      </c>
      <c r="C258" s="301" t="s">
        <v>431</v>
      </c>
      <c r="D258" s="251" t="s">
        <v>430</v>
      </c>
      <c r="E258" s="252" t="s">
        <v>175</v>
      </c>
      <c r="F258" s="251">
        <v>2</v>
      </c>
      <c r="G258" s="303">
        <v>0</v>
      </c>
      <c r="H258" s="303">
        <v>601.25</v>
      </c>
      <c r="I258" s="251"/>
      <c r="J258" s="272">
        <f t="shared" si="79"/>
        <v>601.25</v>
      </c>
      <c r="K258" s="272">
        <f t="shared" si="80"/>
        <v>1202.5</v>
      </c>
      <c r="L258" s="273"/>
      <c r="M258" s="274">
        <f t="shared" si="81"/>
        <v>0</v>
      </c>
      <c r="N258" s="275"/>
      <c r="O258" s="276">
        <f t="shared" si="82"/>
        <v>0</v>
      </c>
      <c r="P258" s="273">
        <f t="shared" si="83"/>
        <v>0</v>
      </c>
      <c r="Q258" s="276">
        <f t="shared" si="84"/>
        <v>0</v>
      </c>
      <c r="R258" s="277">
        <f t="shared" si="85"/>
        <v>0</v>
      </c>
      <c r="S258" s="276">
        <f t="shared" si="86"/>
        <v>2</v>
      </c>
      <c r="T258" s="276">
        <f t="shared" si="87"/>
        <v>1202.5</v>
      </c>
      <c r="U258" s="276"/>
      <c r="V258" s="249"/>
      <c r="W258" s="278">
        <f t="shared" si="89"/>
        <v>0</v>
      </c>
      <c r="X258" s="279"/>
      <c r="Y258" s="249"/>
    </row>
    <row r="259" spans="2:26" ht="18" customHeight="1">
      <c r="B259" s="266">
        <f t="shared" si="88"/>
        <v>216</v>
      </c>
      <c r="C259" s="301" t="s">
        <v>431</v>
      </c>
      <c r="D259" s="251" t="s">
        <v>432</v>
      </c>
      <c r="E259" s="252" t="s">
        <v>175</v>
      </c>
      <c r="F259" s="251">
        <v>1</v>
      </c>
      <c r="G259" s="303">
        <v>0</v>
      </c>
      <c r="H259" s="303">
        <v>601.25</v>
      </c>
      <c r="I259" s="251"/>
      <c r="J259" s="272">
        <f t="shared" si="79"/>
        <v>601.25</v>
      </c>
      <c r="K259" s="272">
        <f t="shared" si="80"/>
        <v>601.25</v>
      </c>
      <c r="L259" s="273"/>
      <c r="M259" s="274">
        <f t="shared" si="81"/>
        <v>0</v>
      </c>
      <c r="N259" s="275"/>
      <c r="O259" s="276">
        <f t="shared" si="82"/>
        <v>0</v>
      </c>
      <c r="P259" s="273">
        <f t="shared" si="83"/>
        <v>0</v>
      </c>
      <c r="Q259" s="276">
        <f t="shared" si="84"/>
        <v>0</v>
      </c>
      <c r="R259" s="277">
        <f t="shared" si="85"/>
        <v>0</v>
      </c>
      <c r="S259" s="276">
        <f t="shared" si="86"/>
        <v>1</v>
      </c>
      <c r="T259" s="276">
        <f t="shared" si="87"/>
        <v>601.25</v>
      </c>
      <c r="U259" s="276"/>
      <c r="V259" s="249"/>
      <c r="W259" s="278">
        <f t="shared" si="89"/>
        <v>0</v>
      </c>
      <c r="X259" s="279"/>
      <c r="Y259" s="249"/>
    </row>
    <row r="260" spans="2:26" ht="18" customHeight="1">
      <c r="B260" s="266">
        <f t="shared" si="88"/>
        <v>217</v>
      </c>
      <c r="C260" s="301" t="s">
        <v>433</v>
      </c>
      <c r="D260" s="251" t="s">
        <v>434</v>
      </c>
      <c r="E260" s="252" t="s">
        <v>234</v>
      </c>
      <c r="F260" s="251">
        <v>2</v>
      </c>
      <c r="G260" s="303">
        <v>0</v>
      </c>
      <c r="H260" s="303">
        <v>34.869999999999997</v>
      </c>
      <c r="I260" s="251"/>
      <c r="J260" s="272">
        <f t="shared" si="79"/>
        <v>34.869999999999997</v>
      </c>
      <c r="K260" s="272">
        <f t="shared" si="80"/>
        <v>69.739999999999995</v>
      </c>
      <c r="L260" s="273"/>
      <c r="M260" s="274">
        <f t="shared" si="81"/>
        <v>0</v>
      </c>
      <c r="N260" s="275"/>
      <c r="O260" s="276">
        <f t="shared" si="82"/>
        <v>0</v>
      </c>
      <c r="P260" s="273">
        <f t="shared" si="83"/>
        <v>0</v>
      </c>
      <c r="Q260" s="276">
        <f t="shared" si="84"/>
        <v>0</v>
      </c>
      <c r="R260" s="277">
        <f t="shared" si="85"/>
        <v>0</v>
      </c>
      <c r="S260" s="276">
        <f t="shared" si="86"/>
        <v>2</v>
      </c>
      <c r="T260" s="276">
        <f t="shared" si="87"/>
        <v>69.739999999999995</v>
      </c>
      <c r="U260" s="276"/>
      <c r="V260" s="249"/>
      <c r="W260" s="278">
        <f t="shared" si="89"/>
        <v>0</v>
      </c>
      <c r="X260" s="279"/>
      <c r="Y260" s="249"/>
    </row>
    <row r="261" spans="2:26" ht="18" customHeight="1">
      <c r="B261" s="266">
        <f t="shared" si="88"/>
        <v>218</v>
      </c>
      <c r="C261" s="301" t="s">
        <v>435</v>
      </c>
      <c r="D261" s="251" t="s">
        <v>436</v>
      </c>
      <c r="E261" s="252" t="s">
        <v>234</v>
      </c>
      <c r="F261" s="251">
        <v>2</v>
      </c>
      <c r="G261" s="303">
        <v>0</v>
      </c>
      <c r="H261" s="303">
        <v>34.869999999999997</v>
      </c>
      <c r="I261" s="251"/>
      <c r="J261" s="272">
        <f t="shared" si="79"/>
        <v>34.869999999999997</v>
      </c>
      <c r="K261" s="272">
        <f t="shared" si="80"/>
        <v>69.739999999999995</v>
      </c>
      <c r="L261" s="273"/>
      <c r="M261" s="274">
        <f t="shared" si="81"/>
        <v>0</v>
      </c>
      <c r="N261" s="275"/>
      <c r="O261" s="276">
        <f t="shared" si="82"/>
        <v>0</v>
      </c>
      <c r="P261" s="273">
        <f t="shared" si="83"/>
        <v>0</v>
      </c>
      <c r="Q261" s="276">
        <f t="shared" si="84"/>
        <v>0</v>
      </c>
      <c r="R261" s="277">
        <f t="shared" si="85"/>
        <v>0</v>
      </c>
      <c r="S261" s="276">
        <f t="shared" si="86"/>
        <v>2</v>
      </c>
      <c r="T261" s="276">
        <f t="shared" si="87"/>
        <v>69.739999999999995</v>
      </c>
      <c r="U261" s="276"/>
      <c r="V261" s="249"/>
      <c r="W261" s="278">
        <f t="shared" si="89"/>
        <v>0</v>
      </c>
      <c r="X261" s="279"/>
      <c r="Y261" s="249"/>
    </row>
    <row r="262" spans="2:26" ht="18" customHeight="1">
      <c r="B262" s="266">
        <f t="shared" si="88"/>
        <v>219</v>
      </c>
      <c r="C262" s="301" t="s">
        <v>395</v>
      </c>
      <c r="D262" s="251" t="s">
        <v>437</v>
      </c>
      <c r="E262" s="252" t="s">
        <v>397</v>
      </c>
      <c r="F262" s="251">
        <v>1</v>
      </c>
      <c r="G262" s="303">
        <v>0</v>
      </c>
      <c r="H262" s="303">
        <v>1395.05</v>
      </c>
      <c r="I262" s="251"/>
      <c r="J262" s="272">
        <f t="shared" si="79"/>
        <v>1395.05</v>
      </c>
      <c r="K262" s="272">
        <f t="shared" si="80"/>
        <v>1395.05</v>
      </c>
      <c r="L262" s="273"/>
      <c r="M262" s="274">
        <f t="shared" si="81"/>
        <v>0</v>
      </c>
      <c r="N262" s="275"/>
      <c r="O262" s="276">
        <f t="shared" si="82"/>
        <v>0</v>
      </c>
      <c r="P262" s="273">
        <f t="shared" si="83"/>
        <v>0</v>
      </c>
      <c r="Q262" s="276">
        <f t="shared" si="84"/>
        <v>0</v>
      </c>
      <c r="R262" s="277">
        <f t="shared" si="85"/>
        <v>0</v>
      </c>
      <c r="S262" s="276">
        <f t="shared" si="86"/>
        <v>1</v>
      </c>
      <c r="T262" s="276">
        <f t="shared" si="87"/>
        <v>1395.05</v>
      </c>
      <c r="U262" s="276"/>
      <c r="V262" s="249"/>
      <c r="W262" s="278">
        <f t="shared" si="89"/>
        <v>0</v>
      </c>
      <c r="X262" s="279"/>
      <c r="Y262" s="249"/>
    </row>
    <row r="263" spans="2:26" ht="18" customHeight="1">
      <c r="B263" s="266">
        <f t="shared" si="88"/>
        <v>220</v>
      </c>
      <c r="C263" s="301"/>
      <c r="D263" s="251"/>
      <c r="E263" s="252"/>
      <c r="F263" s="251"/>
      <c r="G263" s="303"/>
      <c r="H263" s="303"/>
      <c r="I263" s="251"/>
      <c r="J263" s="272"/>
      <c r="K263" s="272"/>
      <c r="L263" s="273"/>
      <c r="M263" s="274"/>
      <c r="N263" s="275"/>
      <c r="O263" s="276"/>
      <c r="P263" s="273"/>
      <c r="Q263" s="276"/>
      <c r="R263" s="277"/>
      <c r="S263" s="276"/>
      <c r="T263" s="276"/>
      <c r="U263" s="276"/>
      <c r="V263" s="249"/>
      <c r="W263" s="278">
        <f t="shared" si="89"/>
        <v>0</v>
      </c>
      <c r="X263" s="279"/>
      <c r="Y263" s="249"/>
    </row>
    <row r="264" spans="2:26" s="304" customFormat="1" ht="18" customHeight="1">
      <c r="B264" s="281">
        <f t="shared" si="88"/>
        <v>221</v>
      </c>
      <c r="C264" s="305" t="s">
        <v>171</v>
      </c>
      <c r="D264" s="306"/>
      <c r="E264" s="307"/>
      <c r="F264" s="306"/>
      <c r="G264" s="308"/>
      <c r="H264" s="308"/>
      <c r="I264" s="306"/>
      <c r="J264" s="287"/>
      <c r="K264" s="309">
        <f>SUM(K232:K263)</f>
        <v>31293.986900000007</v>
      </c>
      <c r="L264" s="288"/>
      <c r="M264" s="309">
        <f>SUM(M232:M263)</f>
        <v>0</v>
      </c>
      <c r="N264" s="288"/>
      <c r="O264" s="287">
        <f>SUM(O232:O263)</f>
        <v>6427.0831500000004</v>
      </c>
      <c r="P264" s="288"/>
      <c r="Q264" s="309">
        <f>SUM(Q232:Q263)</f>
        <v>6427.0831500000004</v>
      </c>
      <c r="R264" s="289">
        <f>IFERROR(+Q264/K264,0)</f>
        <v>0.20537757526830175</v>
      </c>
      <c r="S264" s="290"/>
      <c r="T264" s="290">
        <f>SUM(T232:T263)</f>
        <v>24866.903750000005</v>
      </c>
      <c r="U264" s="290"/>
      <c r="V264" s="249"/>
      <c r="W264" s="278">
        <f t="shared" si="89"/>
        <v>0</v>
      </c>
      <c r="X264" s="279"/>
      <c r="Y264" s="249"/>
      <c r="Z264" s="174"/>
    </row>
    <row r="265" spans="2:26" s="217" customFormat="1" ht="18" customHeight="1">
      <c r="B265" s="260">
        <f t="shared" si="88"/>
        <v>222</v>
      </c>
      <c r="C265" s="291" t="s">
        <v>438</v>
      </c>
      <c r="D265" s="310"/>
      <c r="E265" s="293"/>
      <c r="F265" s="310"/>
      <c r="G265" s="311"/>
      <c r="H265" s="311"/>
      <c r="I265" s="310"/>
      <c r="J265" s="295"/>
      <c r="K265" s="295"/>
      <c r="L265" s="299"/>
      <c r="M265" s="296"/>
      <c r="N265" s="297"/>
      <c r="O265" s="298"/>
      <c r="P265" s="299"/>
      <c r="Q265" s="298"/>
      <c r="R265" s="300"/>
      <c r="S265" s="298"/>
      <c r="T265" s="298"/>
      <c r="U265" s="298"/>
      <c r="V265" s="249"/>
      <c r="W265" s="278">
        <f t="shared" si="89"/>
        <v>0</v>
      </c>
      <c r="X265" s="279"/>
      <c r="Y265" s="249"/>
      <c r="Z265" s="174"/>
    </row>
    <row r="266" spans="2:26" ht="18" customHeight="1">
      <c r="B266" s="266">
        <f t="shared" si="88"/>
        <v>223</v>
      </c>
      <c r="C266" s="301" t="s">
        <v>439</v>
      </c>
      <c r="D266" s="251" t="s">
        <v>403</v>
      </c>
      <c r="E266" s="252" t="s">
        <v>372</v>
      </c>
      <c r="F266" s="251">
        <v>3</v>
      </c>
      <c r="G266" s="303">
        <v>0</v>
      </c>
      <c r="H266" s="303">
        <v>90.04</v>
      </c>
      <c r="I266" s="251"/>
      <c r="J266" s="272">
        <f t="shared" ref="J266:J275" si="90">I266+H266+G266</f>
        <v>90.04</v>
      </c>
      <c r="K266" s="272">
        <f t="shared" ref="K266:K275" si="91">J266*F266</f>
        <v>270.12</v>
      </c>
      <c r="L266" s="273"/>
      <c r="M266" s="274">
        <f t="shared" ref="M266:M275" si="92">L266*J266</f>
        <v>0</v>
      </c>
      <c r="N266" s="275">
        <v>3</v>
      </c>
      <c r="O266" s="276">
        <f t="shared" ref="O266:O275" si="93">N266*J266</f>
        <v>270.12</v>
      </c>
      <c r="P266" s="273">
        <f t="shared" ref="P266:P275" si="94">N266+L266</f>
        <v>3</v>
      </c>
      <c r="Q266" s="276">
        <f t="shared" ref="Q266:Q275" si="95">P266*J266</f>
        <v>270.12</v>
      </c>
      <c r="R266" s="277">
        <f t="shared" ref="R266:R275" si="96">IFERROR(Q266/K266,0)</f>
        <v>1</v>
      </c>
      <c r="S266" s="276">
        <f t="shared" ref="S266:S275" si="97">F266-P266</f>
        <v>0</v>
      </c>
      <c r="T266" s="276">
        <f t="shared" ref="T266:T275" si="98">K266-Q266</f>
        <v>0</v>
      </c>
      <c r="U266" s="276"/>
      <c r="V266" s="249"/>
      <c r="W266" s="278">
        <f t="shared" si="89"/>
        <v>0</v>
      </c>
      <c r="X266" s="279"/>
      <c r="Y266" s="249"/>
    </row>
    <row r="267" spans="2:26" ht="18" customHeight="1">
      <c r="B267" s="266">
        <f t="shared" si="88"/>
        <v>224</v>
      </c>
      <c r="C267" s="301" t="s">
        <v>439</v>
      </c>
      <c r="D267" s="251" t="s">
        <v>440</v>
      </c>
      <c r="E267" s="252" t="s">
        <v>372</v>
      </c>
      <c r="F267" s="251">
        <v>8.75</v>
      </c>
      <c r="G267" s="303">
        <v>0</v>
      </c>
      <c r="H267" s="303">
        <v>121.29</v>
      </c>
      <c r="I267" s="251"/>
      <c r="J267" s="272">
        <f t="shared" si="90"/>
        <v>121.29</v>
      </c>
      <c r="K267" s="272">
        <f t="shared" si="91"/>
        <v>1061.2875000000001</v>
      </c>
      <c r="L267" s="273"/>
      <c r="M267" s="274">
        <f t="shared" si="92"/>
        <v>0</v>
      </c>
      <c r="N267" s="275">
        <v>8.75</v>
      </c>
      <c r="O267" s="276">
        <f t="shared" si="93"/>
        <v>1061.2875000000001</v>
      </c>
      <c r="P267" s="273">
        <f t="shared" si="94"/>
        <v>8.75</v>
      </c>
      <c r="Q267" s="276">
        <f t="shared" si="95"/>
        <v>1061.2875000000001</v>
      </c>
      <c r="R267" s="277">
        <f t="shared" si="96"/>
        <v>1</v>
      </c>
      <c r="S267" s="276">
        <f t="shared" si="97"/>
        <v>0</v>
      </c>
      <c r="T267" s="276">
        <f t="shared" si="98"/>
        <v>0</v>
      </c>
      <c r="U267" s="276"/>
      <c r="V267" s="249"/>
      <c r="W267" s="278">
        <f t="shared" si="89"/>
        <v>0</v>
      </c>
      <c r="X267" s="279"/>
      <c r="Y267" s="249"/>
    </row>
    <row r="268" spans="2:26" ht="18" customHeight="1">
      <c r="B268" s="266">
        <f t="shared" si="88"/>
        <v>225</v>
      </c>
      <c r="C268" s="301" t="s">
        <v>439</v>
      </c>
      <c r="D268" s="251" t="s">
        <v>441</v>
      </c>
      <c r="E268" s="252" t="s">
        <v>372</v>
      </c>
      <c r="F268" s="251">
        <v>23.52</v>
      </c>
      <c r="G268" s="303">
        <v>0</v>
      </c>
      <c r="H268" s="303">
        <v>155.05000000000001</v>
      </c>
      <c r="I268" s="251"/>
      <c r="J268" s="272">
        <f t="shared" si="90"/>
        <v>155.05000000000001</v>
      </c>
      <c r="K268" s="272">
        <f t="shared" si="91"/>
        <v>3646.7760000000003</v>
      </c>
      <c r="L268" s="273"/>
      <c r="M268" s="274">
        <f t="shared" si="92"/>
        <v>0</v>
      </c>
      <c r="N268" s="275">
        <v>23.52</v>
      </c>
      <c r="O268" s="276">
        <f t="shared" si="93"/>
        <v>3646.7760000000003</v>
      </c>
      <c r="P268" s="273">
        <f t="shared" si="94"/>
        <v>23.52</v>
      </c>
      <c r="Q268" s="276">
        <f t="shared" si="95"/>
        <v>3646.7760000000003</v>
      </c>
      <c r="R268" s="277">
        <f t="shared" si="96"/>
        <v>1</v>
      </c>
      <c r="S268" s="276">
        <f t="shared" si="97"/>
        <v>0</v>
      </c>
      <c r="T268" s="276">
        <f t="shared" si="98"/>
        <v>0</v>
      </c>
      <c r="U268" s="276"/>
      <c r="V268" s="249"/>
      <c r="W268" s="278">
        <f t="shared" si="89"/>
        <v>0</v>
      </c>
      <c r="X268" s="279"/>
      <c r="Y268" s="249"/>
    </row>
    <row r="269" spans="2:26" ht="18" customHeight="1">
      <c r="B269" s="266">
        <f t="shared" si="88"/>
        <v>226</v>
      </c>
      <c r="C269" s="301" t="s">
        <v>442</v>
      </c>
      <c r="D269" s="251" t="s">
        <v>443</v>
      </c>
      <c r="E269" s="252" t="s">
        <v>175</v>
      </c>
      <c r="F269" s="251">
        <v>4</v>
      </c>
      <c r="G269" s="303">
        <v>0</v>
      </c>
      <c r="H269" s="303">
        <v>140.88999999999999</v>
      </c>
      <c r="I269" s="251"/>
      <c r="J269" s="272">
        <f t="shared" si="90"/>
        <v>140.88999999999999</v>
      </c>
      <c r="K269" s="272">
        <f t="shared" si="91"/>
        <v>563.55999999999995</v>
      </c>
      <c r="L269" s="273"/>
      <c r="M269" s="274">
        <f t="shared" si="92"/>
        <v>0</v>
      </c>
      <c r="N269" s="275">
        <v>4</v>
      </c>
      <c r="O269" s="276">
        <f t="shared" si="93"/>
        <v>563.55999999999995</v>
      </c>
      <c r="P269" s="273">
        <f t="shared" si="94"/>
        <v>4</v>
      </c>
      <c r="Q269" s="276">
        <f t="shared" si="95"/>
        <v>563.55999999999995</v>
      </c>
      <c r="R269" s="277">
        <f t="shared" si="96"/>
        <v>1</v>
      </c>
      <c r="S269" s="276">
        <f t="shared" si="97"/>
        <v>0</v>
      </c>
      <c r="T269" s="276">
        <f t="shared" si="98"/>
        <v>0</v>
      </c>
      <c r="U269" s="276"/>
      <c r="V269" s="249"/>
      <c r="W269" s="278">
        <f t="shared" si="89"/>
        <v>0</v>
      </c>
      <c r="X269" s="279"/>
      <c r="Y269" s="249"/>
    </row>
    <row r="270" spans="2:26" ht="18" customHeight="1">
      <c r="B270" s="266">
        <f t="shared" si="88"/>
        <v>227</v>
      </c>
      <c r="C270" s="301" t="s">
        <v>442</v>
      </c>
      <c r="D270" s="251" t="s">
        <v>444</v>
      </c>
      <c r="E270" s="252" t="s">
        <v>175</v>
      </c>
      <c r="F270" s="251">
        <v>4</v>
      </c>
      <c r="G270" s="303">
        <v>0</v>
      </c>
      <c r="H270" s="303">
        <v>152.75</v>
      </c>
      <c r="I270" s="251"/>
      <c r="J270" s="272">
        <f t="shared" si="90"/>
        <v>152.75</v>
      </c>
      <c r="K270" s="272">
        <f t="shared" si="91"/>
        <v>611</v>
      </c>
      <c r="L270" s="273"/>
      <c r="M270" s="274">
        <f t="shared" si="92"/>
        <v>0</v>
      </c>
      <c r="N270" s="275">
        <v>4</v>
      </c>
      <c r="O270" s="276">
        <f t="shared" si="93"/>
        <v>611</v>
      </c>
      <c r="P270" s="273">
        <f t="shared" si="94"/>
        <v>4</v>
      </c>
      <c r="Q270" s="276">
        <f t="shared" si="95"/>
        <v>611</v>
      </c>
      <c r="R270" s="277">
        <f t="shared" si="96"/>
        <v>1</v>
      </c>
      <c r="S270" s="276">
        <f t="shared" si="97"/>
        <v>0</v>
      </c>
      <c r="T270" s="276">
        <f t="shared" si="98"/>
        <v>0</v>
      </c>
      <c r="U270" s="276"/>
      <c r="V270" s="249"/>
      <c r="W270" s="278">
        <f t="shared" si="89"/>
        <v>0</v>
      </c>
      <c r="X270" s="279"/>
      <c r="Y270" s="249"/>
    </row>
    <row r="271" spans="2:26" ht="18" customHeight="1">
      <c r="B271" s="266">
        <f t="shared" si="88"/>
        <v>228</v>
      </c>
      <c r="C271" s="301" t="s">
        <v>445</v>
      </c>
      <c r="D271" s="251" t="s">
        <v>443</v>
      </c>
      <c r="E271" s="252" t="s">
        <v>175</v>
      </c>
      <c r="F271" s="251">
        <v>4</v>
      </c>
      <c r="G271" s="303">
        <v>0</v>
      </c>
      <c r="H271" s="303">
        <v>140.88999999999999</v>
      </c>
      <c r="I271" s="251"/>
      <c r="J271" s="272">
        <f t="shared" si="90"/>
        <v>140.88999999999999</v>
      </c>
      <c r="K271" s="272">
        <f t="shared" si="91"/>
        <v>563.55999999999995</v>
      </c>
      <c r="L271" s="273"/>
      <c r="M271" s="274">
        <f t="shared" si="92"/>
        <v>0</v>
      </c>
      <c r="N271" s="275">
        <v>4</v>
      </c>
      <c r="O271" s="276">
        <f t="shared" si="93"/>
        <v>563.55999999999995</v>
      </c>
      <c r="P271" s="273">
        <f t="shared" si="94"/>
        <v>4</v>
      </c>
      <c r="Q271" s="276">
        <f t="shared" si="95"/>
        <v>563.55999999999995</v>
      </c>
      <c r="R271" s="277">
        <f t="shared" si="96"/>
        <v>1</v>
      </c>
      <c r="S271" s="276">
        <f t="shared" si="97"/>
        <v>0</v>
      </c>
      <c r="T271" s="276">
        <f t="shared" si="98"/>
        <v>0</v>
      </c>
      <c r="U271" s="276"/>
      <c r="V271" s="249"/>
      <c r="W271" s="278">
        <f t="shared" si="89"/>
        <v>0</v>
      </c>
      <c r="X271" s="279"/>
      <c r="Y271" s="249"/>
    </row>
    <row r="272" spans="2:26" ht="18" customHeight="1">
      <c r="B272" s="266">
        <f t="shared" si="88"/>
        <v>229</v>
      </c>
      <c r="C272" s="301" t="s">
        <v>445</v>
      </c>
      <c r="D272" s="251" t="s">
        <v>444</v>
      </c>
      <c r="E272" s="252" t="s">
        <v>175</v>
      </c>
      <c r="F272" s="251">
        <v>4</v>
      </c>
      <c r="G272" s="303">
        <v>0</v>
      </c>
      <c r="H272" s="303">
        <v>152.75</v>
      </c>
      <c r="I272" s="251"/>
      <c r="J272" s="272">
        <f t="shared" si="90"/>
        <v>152.75</v>
      </c>
      <c r="K272" s="272">
        <f t="shared" si="91"/>
        <v>611</v>
      </c>
      <c r="L272" s="273"/>
      <c r="M272" s="274">
        <f t="shared" si="92"/>
        <v>0</v>
      </c>
      <c r="N272" s="275">
        <v>4</v>
      </c>
      <c r="O272" s="276">
        <f t="shared" si="93"/>
        <v>611</v>
      </c>
      <c r="P272" s="273">
        <f t="shared" si="94"/>
        <v>4</v>
      </c>
      <c r="Q272" s="276">
        <f t="shared" si="95"/>
        <v>611</v>
      </c>
      <c r="R272" s="277">
        <f t="shared" si="96"/>
        <v>1</v>
      </c>
      <c r="S272" s="276">
        <f t="shared" si="97"/>
        <v>0</v>
      </c>
      <c r="T272" s="276">
        <f t="shared" si="98"/>
        <v>0</v>
      </c>
      <c r="U272" s="276"/>
      <c r="V272" s="249"/>
      <c r="W272" s="278">
        <f t="shared" si="89"/>
        <v>0</v>
      </c>
      <c r="X272" s="279"/>
      <c r="Y272" s="249"/>
    </row>
    <row r="273" spans="2:26" ht="18" customHeight="1">
      <c r="B273" s="266">
        <f t="shared" si="88"/>
        <v>230</v>
      </c>
      <c r="C273" s="301" t="s">
        <v>446</v>
      </c>
      <c r="D273" s="251" t="s">
        <v>443</v>
      </c>
      <c r="E273" s="252" t="s">
        <v>175</v>
      </c>
      <c r="F273" s="251">
        <v>1</v>
      </c>
      <c r="G273" s="303">
        <v>0</v>
      </c>
      <c r="H273" s="303">
        <v>140.88999999999999</v>
      </c>
      <c r="I273" s="251"/>
      <c r="J273" s="272">
        <f t="shared" si="90"/>
        <v>140.88999999999999</v>
      </c>
      <c r="K273" s="272">
        <f t="shared" si="91"/>
        <v>140.88999999999999</v>
      </c>
      <c r="L273" s="273"/>
      <c r="M273" s="274">
        <f t="shared" si="92"/>
        <v>0</v>
      </c>
      <c r="N273" s="275">
        <v>1</v>
      </c>
      <c r="O273" s="276">
        <f t="shared" si="93"/>
        <v>140.88999999999999</v>
      </c>
      <c r="P273" s="273">
        <f t="shared" si="94"/>
        <v>1</v>
      </c>
      <c r="Q273" s="276">
        <f t="shared" si="95"/>
        <v>140.88999999999999</v>
      </c>
      <c r="R273" s="277">
        <f t="shared" si="96"/>
        <v>1</v>
      </c>
      <c r="S273" s="276">
        <f t="shared" si="97"/>
        <v>0</v>
      </c>
      <c r="T273" s="276">
        <f t="shared" si="98"/>
        <v>0</v>
      </c>
      <c r="U273" s="276"/>
      <c r="V273" s="249"/>
      <c r="W273" s="278">
        <f t="shared" si="89"/>
        <v>0</v>
      </c>
      <c r="X273" s="279"/>
      <c r="Y273" s="249"/>
    </row>
    <row r="274" spans="2:26" ht="18" customHeight="1">
      <c r="B274" s="266">
        <f t="shared" si="88"/>
        <v>231</v>
      </c>
      <c r="C274" s="301" t="s">
        <v>446</v>
      </c>
      <c r="D274" s="251" t="s">
        <v>444</v>
      </c>
      <c r="E274" s="252" t="s">
        <v>175</v>
      </c>
      <c r="F274" s="251">
        <v>1</v>
      </c>
      <c r="G274" s="303">
        <v>0</v>
      </c>
      <c r="H274" s="303">
        <v>152.75</v>
      </c>
      <c r="I274" s="251"/>
      <c r="J274" s="272">
        <f t="shared" si="90"/>
        <v>152.75</v>
      </c>
      <c r="K274" s="272">
        <f t="shared" si="91"/>
        <v>152.75</v>
      </c>
      <c r="L274" s="273"/>
      <c r="M274" s="274">
        <f t="shared" si="92"/>
        <v>0</v>
      </c>
      <c r="N274" s="275">
        <v>1</v>
      </c>
      <c r="O274" s="276">
        <f t="shared" si="93"/>
        <v>152.75</v>
      </c>
      <c r="P274" s="273">
        <f t="shared" si="94"/>
        <v>1</v>
      </c>
      <c r="Q274" s="276">
        <f t="shared" si="95"/>
        <v>152.75</v>
      </c>
      <c r="R274" s="277">
        <f t="shared" si="96"/>
        <v>1</v>
      </c>
      <c r="S274" s="276">
        <f t="shared" si="97"/>
        <v>0</v>
      </c>
      <c r="T274" s="276">
        <f t="shared" si="98"/>
        <v>0</v>
      </c>
      <c r="U274" s="276"/>
      <c r="V274" s="249"/>
      <c r="W274" s="278">
        <f t="shared" si="89"/>
        <v>0</v>
      </c>
      <c r="X274" s="279"/>
      <c r="Y274" s="249"/>
    </row>
    <row r="275" spans="2:26" ht="18" customHeight="1">
      <c r="B275" s="266">
        <f t="shared" si="88"/>
        <v>232</v>
      </c>
      <c r="C275" s="301" t="s">
        <v>447</v>
      </c>
      <c r="D275" s="251" t="s">
        <v>448</v>
      </c>
      <c r="E275" s="252" t="s">
        <v>372</v>
      </c>
      <c r="F275" s="251">
        <v>15</v>
      </c>
      <c r="G275" s="303">
        <v>0</v>
      </c>
      <c r="H275" s="303">
        <v>41.84</v>
      </c>
      <c r="I275" s="251"/>
      <c r="J275" s="272">
        <f t="shared" si="90"/>
        <v>41.84</v>
      </c>
      <c r="K275" s="272">
        <f t="shared" si="91"/>
        <v>627.6</v>
      </c>
      <c r="L275" s="273"/>
      <c r="M275" s="274">
        <f t="shared" si="92"/>
        <v>0</v>
      </c>
      <c r="N275" s="275">
        <v>15</v>
      </c>
      <c r="O275" s="276">
        <f t="shared" si="93"/>
        <v>627.6</v>
      </c>
      <c r="P275" s="273">
        <f t="shared" si="94"/>
        <v>15</v>
      </c>
      <c r="Q275" s="276">
        <f t="shared" si="95"/>
        <v>627.6</v>
      </c>
      <c r="R275" s="277">
        <f t="shared" si="96"/>
        <v>1</v>
      </c>
      <c r="S275" s="276">
        <f t="shared" si="97"/>
        <v>0</v>
      </c>
      <c r="T275" s="276">
        <f t="shared" si="98"/>
        <v>0</v>
      </c>
      <c r="U275" s="276"/>
      <c r="V275" s="249"/>
      <c r="W275" s="278">
        <f t="shared" si="89"/>
        <v>0</v>
      </c>
      <c r="X275" s="279"/>
      <c r="Y275" s="249"/>
    </row>
    <row r="276" spans="2:26" ht="18" customHeight="1">
      <c r="B276" s="266">
        <f t="shared" si="88"/>
        <v>233</v>
      </c>
      <c r="C276" s="301"/>
      <c r="D276" s="251"/>
      <c r="E276" s="252"/>
      <c r="F276" s="251"/>
      <c r="G276" s="303"/>
      <c r="H276" s="303"/>
      <c r="I276" s="251"/>
      <c r="J276" s="272"/>
      <c r="K276" s="272"/>
      <c r="L276" s="273"/>
      <c r="M276" s="274"/>
      <c r="N276" s="275"/>
      <c r="O276" s="276"/>
      <c r="P276" s="273"/>
      <c r="Q276" s="276"/>
      <c r="R276" s="277"/>
      <c r="S276" s="276"/>
      <c r="T276" s="276"/>
      <c r="U276" s="276"/>
      <c r="V276" s="249"/>
      <c r="W276" s="278">
        <f t="shared" si="89"/>
        <v>0</v>
      </c>
      <c r="X276" s="279"/>
      <c r="Y276" s="249"/>
    </row>
    <row r="277" spans="2:26" s="304" customFormat="1" ht="18" customHeight="1">
      <c r="B277" s="281">
        <f t="shared" si="88"/>
        <v>234</v>
      </c>
      <c r="C277" s="305" t="s">
        <v>171</v>
      </c>
      <c r="D277" s="306"/>
      <c r="E277" s="307"/>
      <c r="F277" s="306"/>
      <c r="G277" s="308"/>
      <c r="H277" s="308"/>
      <c r="I277" s="306"/>
      <c r="J277" s="287"/>
      <c r="K277" s="309">
        <f>SUM(K266:K276)</f>
        <v>8248.5434999999998</v>
      </c>
      <c r="L277" s="288"/>
      <c r="M277" s="309">
        <f>SUM(M266:M276)</f>
        <v>0</v>
      </c>
      <c r="N277" s="288"/>
      <c r="O277" s="287">
        <f>SUM(O266:O276)</f>
        <v>8248.5434999999998</v>
      </c>
      <c r="P277" s="288"/>
      <c r="Q277" s="309">
        <f>SUM(Q266:Q276)</f>
        <v>8248.5434999999998</v>
      </c>
      <c r="R277" s="289">
        <f>IFERROR(+Q277/K277,0)</f>
        <v>1</v>
      </c>
      <c r="S277" s="290"/>
      <c r="T277" s="290">
        <f>SUM(T266:T276)</f>
        <v>0</v>
      </c>
      <c r="U277" s="290"/>
      <c r="V277" s="249"/>
      <c r="W277" s="278">
        <f t="shared" si="89"/>
        <v>0</v>
      </c>
      <c r="X277" s="279"/>
      <c r="Y277" s="249"/>
      <c r="Z277" s="174"/>
    </row>
    <row r="278" spans="2:26" s="217" customFormat="1" ht="18" customHeight="1">
      <c r="B278" s="260">
        <f t="shared" si="88"/>
        <v>235</v>
      </c>
      <c r="C278" s="291" t="s">
        <v>449</v>
      </c>
      <c r="D278" s="310"/>
      <c r="E278" s="293"/>
      <c r="F278" s="310"/>
      <c r="G278" s="311"/>
      <c r="H278" s="311"/>
      <c r="I278" s="310"/>
      <c r="J278" s="295"/>
      <c r="K278" s="295"/>
      <c r="L278" s="299"/>
      <c r="M278" s="296"/>
      <c r="N278" s="297"/>
      <c r="O278" s="298"/>
      <c r="P278" s="299"/>
      <c r="Q278" s="298"/>
      <c r="R278" s="300"/>
      <c r="S278" s="298"/>
      <c r="T278" s="298"/>
      <c r="U278" s="298"/>
      <c r="V278" s="249"/>
      <c r="W278" s="278">
        <f t="shared" si="89"/>
        <v>0</v>
      </c>
      <c r="X278" s="279"/>
      <c r="Y278" s="249"/>
      <c r="Z278" s="174"/>
    </row>
    <row r="279" spans="2:26" ht="18" customHeight="1">
      <c r="B279" s="266">
        <f t="shared" si="88"/>
        <v>236</v>
      </c>
      <c r="C279" s="301" t="s">
        <v>450</v>
      </c>
      <c r="D279" s="251" t="s">
        <v>400</v>
      </c>
      <c r="E279" s="252" t="s">
        <v>372</v>
      </c>
      <c r="F279" s="251">
        <v>3.08</v>
      </c>
      <c r="G279" s="303">
        <v>0</v>
      </c>
      <c r="H279" s="303">
        <v>70.569999999999993</v>
      </c>
      <c r="I279" s="251"/>
      <c r="J279" s="272">
        <f t="shared" ref="J279:J286" si="99">I279+H279+G279</f>
        <v>70.569999999999993</v>
      </c>
      <c r="K279" s="272">
        <f t="shared" ref="K279:K286" si="100">J279*F279</f>
        <v>217.35559999999998</v>
      </c>
      <c r="L279" s="273"/>
      <c r="M279" s="274">
        <f t="shared" ref="M279:M286" si="101">L279*J279</f>
        <v>0</v>
      </c>
      <c r="N279" s="275">
        <v>1.54</v>
      </c>
      <c r="O279" s="276">
        <f t="shared" ref="O279:O286" si="102">N279*J279</f>
        <v>108.67779999999999</v>
      </c>
      <c r="P279" s="273">
        <f t="shared" ref="P279:P286" si="103">N279+L279</f>
        <v>1.54</v>
      </c>
      <c r="Q279" s="276">
        <f t="shared" ref="Q279:Q286" si="104">P279*J279</f>
        <v>108.67779999999999</v>
      </c>
      <c r="R279" s="277">
        <f t="shared" ref="R279:R286" si="105">IFERROR(Q279/K279,0)</f>
        <v>0.5</v>
      </c>
      <c r="S279" s="276">
        <f t="shared" ref="S279:S286" si="106">F279-P279</f>
        <v>1.54</v>
      </c>
      <c r="T279" s="276">
        <f t="shared" ref="T279:T286" si="107">K279-Q279</f>
        <v>108.67779999999999</v>
      </c>
      <c r="U279" s="276"/>
      <c r="V279" s="249"/>
      <c r="W279" s="278">
        <f t="shared" si="89"/>
        <v>0</v>
      </c>
      <c r="X279" s="279"/>
      <c r="Y279" s="249"/>
    </row>
    <row r="280" spans="2:26" ht="18" customHeight="1">
      <c r="B280" s="266">
        <f t="shared" si="88"/>
        <v>237</v>
      </c>
      <c r="C280" s="301" t="s">
        <v>450</v>
      </c>
      <c r="D280" s="251" t="s">
        <v>451</v>
      </c>
      <c r="E280" s="252" t="s">
        <v>372</v>
      </c>
      <c r="F280" s="251">
        <v>10.97</v>
      </c>
      <c r="G280" s="303">
        <v>0</v>
      </c>
      <c r="H280" s="303">
        <v>88.29</v>
      </c>
      <c r="I280" s="251"/>
      <c r="J280" s="272">
        <f t="shared" si="99"/>
        <v>88.29</v>
      </c>
      <c r="K280" s="272">
        <f t="shared" si="100"/>
        <v>968.54130000000009</v>
      </c>
      <c r="L280" s="273"/>
      <c r="M280" s="274">
        <f t="shared" si="101"/>
        <v>0</v>
      </c>
      <c r="N280" s="275">
        <v>5.4850000000000003</v>
      </c>
      <c r="O280" s="276">
        <f t="shared" si="102"/>
        <v>484.27065000000005</v>
      </c>
      <c r="P280" s="273">
        <f t="shared" si="103"/>
        <v>5.4850000000000003</v>
      </c>
      <c r="Q280" s="276">
        <f t="shared" si="104"/>
        <v>484.27065000000005</v>
      </c>
      <c r="R280" s="277">
        <f t="shared" si="105"/>
        <v>0.5</v>
      </c>
      <c r="S280" s="276">
        <f t="shared" si="106"/>
        <v>5.4850000000000003</v>
      </c>
      <c r="T280" s="276">
        <f t="shared" si="107"/>
        <v>484.27065000000005</v>
      </c>
      <c r="U280" s="276"/>
      <c r="V280" s="249"/>
      <c r="W280" s="278">
        <f t="shared" si="89"/>
        <v>0</v>
      </c>
      <c r="X280" s="279"/>
      <c r="Y280" s="249"/>
    </row>
    <row r="281" spans="2:26" ht="18" customHeight="1">
      <c r="B281" s="266">
        <f t="shared" si="88"/>
        <v>238</v>
      </c>
      <c r="C281" s="301" t="s">
        <v>450</v>
      </c>
      <c r="D281" s="251" t="s">
        <v>452</v>
      </c>
      <c r="E281" s="252" t="s">
        <v>372</v>
      </c>
      <c r="F281" s="251">
        <v>43.89</v>
      </c>
      <c r="G281" s="303">
        <v>0</v>
      </c>
      <c r="H281" s="303">
        <v>117.7</v>
      </c>
      <c r="I281" s="251"/>
      <c r="J281" s="272">
        <f t="shared" si="99"/>
        <v>117.7</v>
      </c>
      <c r="K281" s="272">
        <f t="shared" si="100"/>
        <v>5165.8530000000001</v>
      </c>
      <c r="L281" s="273"/>
      <c r="M281" s="274">
        <f t="shared" si="101"/>
        <v>0</v>
      </c>
      <c r="N281" s="275">
        <v>21.945</v>
      </c>
      <c r="O281" s="276">
        <f t="shared" si="102"/>
        <v>2582.9265</v>
      </c>
      <c r="P281" s="273">
        <f t="shared" si="103"/>
        <v>21.945</v>
      </c>
      <c r="Q281" s="276">
        <f t="shared" si="104"/>
        <v>2582.9265</v>
      </c>
      <c r="R281" s="277">
        <f t="shared" si="105"/>
        <v>0.5</v>
      </c>
      <c r="S281" s="276">
        <f t="shared" si="106"/>
        <v>21.945</v>
      </c>
      <c r="T281" s="276">
        <f t="shared" si="107"/>
        <v>2582.9265</v>
      </c>
      <c r="U281" s="276"/>
      <c r="V281" s="249"/>
      <c r="W281" s="278">
        <f t="shared" si="89"/>
        <v>0</v>
      </c>
      <c r="X281" s="279"/>
      <c r="Y281" s="249"/>
    </row>
    <row r="282" spans="2:26" ht="18" customHeight="1">
      <c r="B282" s="266">
        <f t="shared" si="88"/>
        <v>239</v>
      </c>
      <c r="C282" s="301" t="s">
        <v>453</v>
      </c>
      <c r="D282" s="251" t="s">
        <v>412</v>
      </c>
      <c r="E282" s="252" t="s">
        <v>175</v>
      </c>
      <c r="F282" s="251">
        <v>2</v>
      </c>
      <c r="G282" s="303">
        <v>0</v>
      </c>
      <c r="H282" s="303">
        <v>66.19</v>
      </c>
      <c r="I282" s="251"/>
      <c r="J282" s="272">
        <f t="shared" si="99"/>
        <v>66.19</v>
      </c>
      <c r="K282" s="272">
        <f t="shared" si="100"/>
        <v>132.38</v>
      </c>
      <c r="L282" s="273"/>
      <c r="M282" s="274">
        <f t="shared" si="101"/>
        <v>0</v>
      </c>
      <c r="N282" s="275"/>
      <c r="O282" s="276">
        <f t="shared" si="102"/>
        <v>0</v>
      </c>
      <c r="P282" s="273">
        <f t="shared" si="103"/>
        <v>0</v>
      </c>
      <c r="Q282" s="276">
        <f t="shared" si="104"/>
        <v>0</v>
      </c>
      <c r="R282" s="277">
        <f t="shared" si="105"/>
        <v>0</v>
      </c>
      <c r="S282" s="276">
        <f t="shared" si="106"/>
        <v>2</v>
      </c>
      <c r="T282" s="276">
        <f t="shared" si="107"/>
        <v>132.38</v>
      </c>
      <c r="U282" s="276"/>
      <c r="V282" s="249"/>
      <c r="W282" s="278">
        <f t="shared" si="89"/>
        <v>0</v>
      </c>
      <c r="X282" s="279"/>
      <c r="Y282" s="249"/>
    </row>
    <row r="283" spans="2:26" ht="18" customHeight="1">
      <c r="B283" s="266">
        <f t="shared" si="88"/>
        <v>240</v>
      </c>
      <c r="C283" s="301" t="s">
        <v>453</v>
      </c>
      <c r="D283" s="251" t="s">
        <v>413</v>
      </c>
      <c r="E283" s="252" t="s">
        <v>175</v>
      </c>
      <c r="F283" s="251">
        <v>1</v>
      </c>
      <c r="G283" s="303">
        <v>0</v>
      </c>
      <c r="H283" s="303">
        <v>66.19</v>
      </c>
      <c r="I283" s="251"/>
      <c r="J283" s="272">
        <f t="shared" si="99"/>
        <v>66.19</v>
      </c>
      <c r="K283" s="272">
        <f t="shared" si="100"/>
        <v>66.19</v>
      </c>
      <c r="L283" s="273"/>
      <c r="M283" s="274">
        <f t="shared" si="101"/>
        <v>0</v>
      </c>
      <c r="N283" s="275"/>
      <c r="O283" s="276">
        <f t="shared" si="102"/>
        <v>0</v>
      </c>
      <c r="P283" s="273">
        <f t="shared" si="103"/>
        <v>0</v>
      </c>
      <c r="Q283" s="276">
        <f t="shared" si="104"/>
        <v>0</v>
      </c>
      <c r="R283" s="277">
        <f t="shared" si="105"/>
        <v>0</v>
      </c>
      <c r="S283" s="276">
        <f t="shared" si="106"/>
        <v>1</v>
      </c>
      <c r="T283" s="276">
        <f t="shared" si="107"/>
        <v>66.19</v>
      </c>
      <c r="U283" s="276"/>
      <c r="V283" s="249"/>
      <c r="W283" s="278">
        <f t="shared" si="89"/>
        <v>0</v>
      </c>
      <c r="X283" s="279"/>
      <c r="Y283" s="249"/>
    </row>
    <row r="284" spans="2:26" ht="18" customHeight="1">
      <c r="B284" s="266">
        <f t="shared" si="88"/>
        <v>241</v>
      </c>
      <c r="C284" s="301" t="s">
        <v>453</v>
      </c>
      <c r="D284" s="251" t="s">
        <v>414</v>
      </c>
      <c r="E284" s="252" t="s">
        <v>175</v>
      </c>
      <c r="F284" s="251">
        <v>3</v>
      </c>
      <c r="G284" s="303">
        <v>0</v>
      </c>
      <c r="H284" s="303">
        <v>97.97</v>
      </c>
      <c r="I284" s="251"/>
      <c r="J284" s="272">
        <f t="shared" si="99"/>
        <v>97.97</v>
      </c>
      <c r="K284" s="272">
        <f t="shared" si="100"/>
        <v>293.90999999999997</v>
      </c>
      <c r="L284" s="273"/>
      <c r="M284" s="274">
        <f t="shared" si="101"/>
        <v>0</v>
      </c>
      <c r="N284" s="275"/>
      <c r="O284" s="276">
        <f t="shared" si="102"/>
        <v>0</v>
      </c>
      <c r="P284" s="273">
        <f t="shared" si="103"/>
        <v>0</v>
      </c>
      <c r="Q284" s="276">
        <f t="shared" si="104"/>
        <v>0</v>
      </c>
      <c r="R284" s="277">
        <f t="shared" si="105"/>
        <v>0</v>
      </c>
      <c r="S284" s="276">
        <f t="shared" si="106"/>
        <v>3</v>
      </c>
      <c r="T284" s="276">
        <f t="shared" si="107"/>
        <v>293.90999999999997</v>
      </c>
      <c r="U284" s="276"/>
      <c r="V284" s="249"/>
      <c r="W284" s="278">
        <f t="shared" si="89"/>
        <v>0</v>
      </c>
      <c r="X284" s="279"/>
      <c r="Y284" s="249"/>
    </row>
    <row r="285" spans="2:26" ht="18" customHeight="1">
      <c r="B285" s="266">
        <f t="shared" si="88"/>
        <v>242</v>
      </c>
      <c r="C285" s="301" t="s">
        <v>454</v>
      </c>
      <c r="D285" s="251" t="s">
        <v>434</v>
      </c>
      <c r="E285" s="252" t="s">
        <v>234</v>
      </c>
      <c r="F285" s="251">
        <v>2</v>
      </c>
      <c r="G285" s="303">
        <v>0</v>
      </c>
      <c r="H285" s="303">
        <v>97.97</v>
      </c>
      <c r="I285" s="251"/>
      <c r="J285" s="272">
        <f t="shared" si="99"/>
        <v>97.97</v>
      </c>
      <c r="K285" s="272">
        <f t="shared" si="100"/>
        <v>195.94</v>
      </c>
      <c r="L285" s="273"/>
      <c r="M285" s="274">
        <f t="shared" si="101"/>
        <v>0</v>
      </c>
      <c r="N285" s="275"/>
      <c r="O285" s="276">
        <f t="shared" si="102"/>
        <v>0</v>
      </c>
      <c r="P285" s="273">
        <f t="shared" si="103"/>
        <v>0</v>
      </c>
      <c r="Q285" s="276">
        <f t="shared" si="104"/>
        <v>0</v>
      </c>
      <c r="R285" s="277">
        <f t="shared" si="105"/>
        <v>0</v>
      </c>
      <c r="S285" s="276">
        <f t="shared" si="106"/>
        <v>2</v>
      </c>
      <c r="T285" s="276">
        <f t="shared" si="107"/>
        <v>195.94</v>
      </c>
      <c r="U285" s="276"/>
      <c r="V285" s="249"/>
      <c r="W285" s="278">
        <f t="shared" si="89"/>
        <v>0</v>
      </c>
      <c r="X285" s="279"/>
      <c r="Y285" s="249"/>
    </row>
    <row r="286" spans="2:26" ht="18" customHeight="1">
      <c r="B286" s="266">
        <f t="shared" si="88"/>
        <v>243</v>
      </c>
      <c r="C286" s="301" t="s">
        <v>395</v>
      </c>
      <c r="D286" s="251" t="s">
        <v>437</v>
      </c>
      <c r="E286" s="252" t="s">
        <v>397</v>
      </c>
      <c r="F286" s="251">
        <v>1</v>
      </c>
      <c r="G286" s="303">
        <v>0</v>
      </c>
      <c r="H286" s="303">
        <v>263.74</v>
      </c>
      <c r="I286" s="251"/>
      <c r="J286" s="272">
        <f t="shared" si="99"/>
        <v>263.74</v>
      </c>
      <c r="K286" s="272">
        <f t="shared" si="100"/>
        <v>263.74</v>
      </c>
      <c r="L286" s="273"/>
      <c r="M286" s="274">
        <f t="shared" si="101"/>
        <v>0</v>
      </c>
      <c r="N286" s="275"/>
      <c r="O286" s="276">
        <f t="shared" si="102"/>
        <v>0</v>
      </c>
      <c r="P286" s="273">
        <f t="shared" si="103"/>
        <v>0</v>
      </c>
      <c r="Q286" s="276">
        <f t="shared" si="104"/>
        <v>0</v>
      </c>
      <c r="R286" s="277">
        <f t="shared" si="105"/>
        <v>0</v>
      </c>
      <c r="S286" s="276">
        <f t="shared" si="106"/>
        <v>1</v>
      </c>
      <c r="T286" s="276">
        <f t="shared" si="107"/>
        <v>263.74</v>
      </c>
      <c r="U286" s="276"/>
      <c r="V286" s="249"/>
      <c r="W286" s="278">
        <f t="shared" si="89"/>
        <v>0</v>
      </c>
      <c r="X286" s="279"/>
      <c r="Y286" s="249"/>
    </row>
    <row r="287" spans="2:26" ht="18" customHeight="1">
      <c r="B287" s="266">
        <f t="shared" si="88"/>
        <v>244</v>
      </c>
      <c r="C287" s="301"/>
      <c r="D287" s="251"/>
      <c r="E287" s="252"/>
      <c r="F287" s="251"/>
      <c r="G287" s="303"/>
      <c r="H287" s="303"/>
      <c r="I287" s="251"/>
      <c r="J287" s="272"/>
      <c r="K287" s="272"/>
      <c r="L287" s="273"/>
      <c r="M287" s="274"/>
      <c r="N287" s="275"/>
      <c r="O287" s="276"/>
      <c r="P287" s="273"/>
      <c r="Q287" s="276"/>
      <c r="R287" s="277"/>
      <c r="S287" s="276"/>
      <c r="T287" s="276"/>
      <c r="U287" s="276"/>
      <c r="V287" s="249"/>
      <c r="W287" s="278">
        <f t="shared" si="89"/>
        <v>0</v>
      </c>
      <c r="X287" s="279"/>
      <c r="Y287" s="249"/>
    </row>
    <row r="288" spans="2:26" s="304" customFormat="1" ht="18" customHeight="1">
      <c r="B288" s="281">
        <f t="shared" si="88"/>
        <v>245</v>
      </c>
      <c r="C288" s="305" t="s">
        <v>171</v>
      </c>
      <c r="D288" s="306"/>
      <c r="E288" s="307"/>
      <c r="F288" s="306"/>
      <c r="G288" s="308"/>
      <c r="H288" s="308"/>
      <c r="I288" s="306"/>
      <c r="J288" s="287"/>
      <c r="K288" s="309">
        <f>SUM(K279:K287)</f>
        <v>7303.9098999999997</v>
      </c>
      <c r="L288" s="288"/>
      <c r="M288" s="309">
        <f>SUM(M279:M287)</f>
        <v>0</v>
      </c>
      <c r="N288" s="288"/>
      <c r="O288" s="287">
        <f>SUM(O279:O287)</f>
        <v>3175.8749500000004</v>
      </c>
      <c r="P288" s="288"/>
      <c r="Q288" s="309">
        <f>SUM(Q279:Q287)</f>
        <v>3175.8749500000004</v>
      </c>
      <c r="R288" s="289">
        <f>IFERROR(+Q288/K288,0)</f>
        <v>0.43481847304825055</v>
      </c>
      <c r="S288" s="290"/>
      <c r="T288" s="290">
        <f>SUM(T279:T287)</f>
        <v>4128.0349500000002</v>
      </c>
      <c r="U288" s="290"/>
      <c r="V288" s="249"/>
      <c r="W288" s="278">
        <f t="shared" si="89"/>
        <v>0</v>
      </c>
      <c r="X288" s="279"/>
      <c r="Y288" s="249"/>
      <c r="Z288" s="174"/>
    </row>
    <row r="289" spans="1:26" s="217" customFormat="1" ht="18" customHeight="1">
      <c r="B289" s="260">
        <f t="shared" si="88"/>
        <v>246</v>
      </c>
      <c r="C289" s="291" t="s">
        <v>455</v>
      </c>
      <c r="D289" s="310"/>
      <c r="E289" s="293"/>
      <c r="F289" s="310"/>
      <c r="G289" s="311"/>
      <c r="H289" s="311"/>
      <c r="I289" s="310"/>
      <c r="J289" s="295"/>
      <c r="K289" s="295"/>
      <c r="L289" s="299"/>
      <c r="M289" s="296"/>
      <c r="N289" s="297"/>
      <c r="O289" s="298"/>
      <c r="P289" s="299"/>
      <c r="Q289" s="298"/>
      <c r="R289" s="300"/>
      <c r="S289" s="298"/>
      <c r="T289" s="298"/>
      <c r="U289" s="298"/>
      <c r="V289" s="249"/>
      <c r="W289" s="278">
        <f t="shared" si="89"/>
        <v>0</v>
      </c>
      <c r="X289" s="279"/>
      <c r="Y289" s="249"/>
      <c r="Z289" s="174"/>
    </row>
    <row r="290" spans="1:26" ht="18" customHeight="1">
      <c r="A290" s="313" t="str">
        <f>+C290&amp;LEFT(D290,10)&amp;E290</f>
        <v>SPRINKLER SUB-MAIN, BRANCH PIPE, AND HEADOH1 (WET) SQLF</v>
      </c>
      <c r="B290" s="266">
        <f t="shared" si="88"/>
        <v>247</v>
      </c>
      <c r="C290" s="301" t="s">
        <v>456</v>
      </c>
      <c r="D290" s="251" t="s">
        <v>457</v>
      </c>
      <c r="E290" s="252" t="s">
        <v>458</v>
      </c>
      <c r="F290" s="251">
        <v>4998</v>
      </c>
      <c r="G290" s="303">
        <v>0</v>
      </c>
      <c r="H290" s="303">
        <v>0</v>
      </c>
      <c r="I290" s="251"/>
      <c r="J290" s="272">
        <f>I290+H290+G290</f>
        <v>0</v>
      </c>
      <c r="K290" s="272">
        <f>J290*F290</f>
        <v>0</v>
      </c>
      <c r="L290" s="273"/>
      <c r="M290" s="274">
        <f>L290*J290</f>
        <v>0</v>
      </c>
      <c r="N290" s="275"/>
      <c r="O290" s="276">
        <f>N290*J290</f>
        <v>0</v>
      </c>
      <c r="P290" s="273">
        <f>N290+L290</f>
        <v>0</v>
      </c>
      <c r="Q290" s="276">
        <f>P290*J290</f>
        <v>0</v>
      </c>
      <c r="R290" s="277">
        <f>IFERROR(Q290/K290,0)</f>
        <v>0</v>
      </c>
      <c r="S290" s="276">
        <f>F290-P290</f>
        <v>4998</v>
      </c>
      <c r="T290" s="276">
        <f>K290-Q290</f>
        <v>0</v>
      </c>
      <c r="U290" s="276"/>
      <c r="V290" s="264" t="e">
        <v>#NAME?</v>
      </c>
      <c r="W290" s="278" t="e">
        <f>#REF!-V290</f>
        <v>#REF!</v>
      </c>
      <c r="X290" s="279"/>
      <c r="Y290" s="249"/>
      <c r="Z290" s="265"/>
    </row>
    <row r="291" spans="1:26" ht="18" customHeight="1">
      <c r="A291" s="313" t="str">
        <f>+C291&amp;LEFT(D291,10)&amp;E291</f>
        <v>Fire Extinguisher20 LB, ABCEA</v>
      </c>
      <c r="B291" s="266">
        <f t="shared" si="88"/>
        <v>248</v>
      </c>
      <c r="C291" s="301" t="s">
        <v>459</v>
      </c>
      <c r="D291" s="251" t="s">
        <v>460</v>
      </c>
      <c r="E291" s="252" t="s">
        <v>175</v>
      </c>
      <c r="F291" s="251">
        <v>5</v>
      </c>
      <c r="G291" s="303">
        <v>0</v>
      </c>
      <c r="H291" s="303">
        <v>0</v>
      </c>
      <c r="I291" s="251"/>
      <c r="J291" s="272">
        <f>I291+H291+G291</f>
        <v>0</v>
      </c>
      <c r="K291" s="272">
        <f>J291*F291</f>
        <v>0</v>
      </c>
      <c r="L291" s="273"/>
      <c r="M291" s="274">
        <f>L291*J291</f>
        <v>0</v>
      </c>
      <c r="N291" s="275"/>
      <c r="O291" s="276">
        <f>N291*J291</f>
        <v>0</v>
      </c>
      <c r="P291" s="273">
        <f>N291+L291</f>
        <v>0</v>
      </c>
      <c r="Q291" s="276">
        <f>P291*J291</f>
        <v>0</v>
      </c>
      <c r="R291" s="277">
        <f>IFERROR(Q291/K291,0)</f>
        <v>0</v>
      </c>
      <c r="S291" s="276">
        <f>F291-P291</f>
        <v>5</v>
      </c>
      <c r="T291" s="276">
        <f>K291-Q291</f>
        <v>0</v>
      </c>
      <c r="U291" s="276"/>
      <c r="V291" s="264" t="e">
        <v>#NAME?</v>
      </c>
      <c r="W291" s="278" t="e">
        <f>#REF!-V291</f>
        <v>#REF!</v>
      </c>
      <c r="X291" s="279"/>
      <c r="Y291" s="249"/>
      <c r="Z291" s="313"/>
    </row>
    <row r="292" spans="1:26" ht="18" customHeight="1">
      <c r="A292" s="313" t="str">
        <f>+C292&amp;LEFT(D292,10)&amp;E292</f>
        <v>TestingAs per insL/S</v>
      </c>
      <c r="B292" s="266">
        <f t="shared" si="88"/>
        <v>249</v>
      </c>
      <c r="C292" s="301" t="s">
        <v>461</v>
      </c>
      <c r="D292" s="251" t="s">
        <v>462</v>
      </c>
      <c r="E292" s="252" t="s">
        <v>158</v>
      </c>
      <c r="F292" s="251">
        <v>1</v>
      </c>
      <c r="G292" s="303">
        <v>0</v>
      </c>
      <c r="H292" s="303">
        <v>0</v>
      </c>
      <c r="I292" s="251"/>
      <c r="J292" s="272">
        <f>I292+H292+G292</f>
        <v>0</v>
      </c>
      <c r="K292" s="272">
        <f>J292*F292</f>
        <v>0</v>
      </c>
      <c r="L292" s="273"/>
      <c r="M292" s="274">
        <f>L292*J292</f>
        <v>0</v>
      </c>
      <c r="N292" s="275"/>
      <c r="O292" s="276">
        <f>N292*J292</f>
        <v>0</v>
      </c>
      <c r="P292" s="273">
        <f>N292+L292</f>
        <v>0</v>
      </c>
      <c r="Q292" s="276">
        <f>P292*J292</f>
        <v>0</v>
      </c>
      <c r="R292" s="277">
        <f>IFERROR(Q292/K292,0)</f>
        <v>0</v>
      </c>
      <c r="S292" s="276">
        <f>F292-P292</f>
        <v>1</v>
      </c>
      <c r="T292" s="276">
        <f>K292-Q292</f>
        <v>0</v>
      </c>
      <c r="U292" s="276"/>
      <c r="V292" s="264" t="e">
        <v>#NAME?</v>
      </c>
      <c r="W292" s="278" t="e">
        <f>#REF!-V292</f>
        <v>#REF!</v>
      </c>
      <c r="X292" s="279"/>
      <c r="Y292" s="249"/>
      <c r="Z292" s="265"/>
    </row>
    <row r="293" spans="1:26" ht="18" customHeight="1">
      <c r="A293" s="313" t="str">
        <f>+C293&amp;LEFT(D293,10)&amp;E293</f>
        <v>DesignWorking, sL/S</v>
      </c>
      <c r="B293" s="266">
        <f t="shared" si="88"/>
        <v>250</v>
      </c>
      <c r="C293" s="301" t="s">
        <v>463</v>
      </c>
      <c r="D293" s="251" t="s">
        <v>464</v>
      </c>
      <c r="E293" s="252" t="s">
        <v>158</v>
      </c>
      <c r="F293" s="251">
        <v>1</v>
      </c>
      <c r="G293" s="303">
        <v>0</v>
      </c>
      <c r="H293" s="303">
        <v>0</v>
      </c>
      <c r="I293" s="251"/>
      <c r="J293" s="272">
        <f>I293+H293+G293</f>
        <v>0</v>
      </c>
      <c r="K293" s="272">
        <f>J293*F293</f>
        <v>0</v>
      </c>
      <c r="L293" s="273"/>
      <c r="M293" s="274">
        <f>L293*J293</f>
        <v>0</v>
      </c>
      <c r="N293" s="275"/>
      <c r="O293" s="276">
        <f>N293*J293</f>
        <v>0</v>
      </c>
      <c r="P293" s="273">
        <f>N293+L293</f>
        <v>0</v>
      </c>
      <c r="Q293" s="276">
        <f>P293*J293</f>
        <v>0</v>
      </c>
      <c r="R293" s="277">
        <f>IFERROR(Q293/K293,0)</f>
        <v>0</v>
      </c>
      <c r="S293" s="276">
        <f>F293-P293</f>
        <v>1</v>
      </c>
      <c r="T293" s="276">
        <f>K293-Q293</f>
        <v>0</v>
      </c>
      <c r="U293" s="276"/>
      <c r="V293" s="264" t="e">
        <v>#NAME?</v>
      </c>
      <c r="W293" s="278" t="e">
        <f>#REF!-V293</f>
        <v>#REF!</v>
      </c>
      <c r="X293" s="279"/>
      <c r="Y293" s="249"/>
      <c r="Z293" s="313"/>
    </row>
    <row r="294" spans="1:26" ht="18" customHeight="1">
      <c r="A294" s="313" t="str">
        <f>+C294&amp;LEFT(D294,10)&amp;E294</f>
        <v>AHJ ApprovalsSubmissionL/S</v>
      </c>
      <c r="B294" s="266">
        <f t="shared" si="88"/>
        <v>251</v>
      </c>
      <c r="C294" s="301" t="s">
        <v>465</v>
      </c>
      <c r="D294" s="251" t="s">
        <v>466</v>
      </c>
      <c r="E294" s="252" t="s">
        <v>158</v>
      </c>
      <c r="F294" s="251">
        <v>1</v>
      </c>
      <c r="G294" s="303">
        <v>0</v>
      </c>
      <c r="H294" s="303">
        <v>0</v>
      </c>
      <c r="I294" s="251"/>
      <c r="J294" s="272">
        <f>I294+H294+G294</f>
        <v>0</v>
      </c>
      <c r="K294" s="272">
        <f>J294*F294</f>
        <v>0</v>
      </c>
      <c r="L294" s="273"/>
      <c r="M294" s="274">
        <f>L294*J294</f>
        <v>0</v>
      </c>
      <c r="N294" s="275"/>
      <c r="O294" s="276">
        <f>N294*J294</f>
        <v>0</v>
      </c>
      <c r="P294" s="273">
        <f>N294+L294</f>
        <v>0</v>
      </c>
      <c r="Q294" s="276">
        <f>P294*J294</f>
        <v>0</v>
      </c>
      <c r="R294" s="277">
        <f>IFERROR(Q294/K294,0)</f>
        <v>0</v>
      </c>
      <c r="S294" s="276">
        <f>F294-P294</f>
        <v>1</v>
      </c>
      <c r="T294" s="276">
        <f>K294-Q294</f>
        <v>0</v>
      </c>
      <c r="U294" s="276"/>
      <c r="V294" s="264" t="e">
        <v>#NAME?</v>
      </c>
      <c r="W294" s="278" t="e">
        <f>#REF!-V294</f>
        <v>#REF!</v>
      </c>
      <c r="X294" s="279"/>
      <c r="Y294" s="249"/>
      <c r="Z294" s="313"/>
    </row>
    <row r="295" spans="1:26" ht="18" customHeight="1">
      <c r="B295" s="266">
        <f t="shared" si="88"/>
        <v>252</v>
      </c>
      <c r="C295" s="301"/>
      <c r="D295" s="251"/>
      <c r="E295" s="252"/>
      <c r="F295" s="251"/>
      <c r="G295" s="303"/>
      <c r="H295" s="303"/>
      <c r="I295" s="251"/>
      <c r="J295" s="272"/>
      <c r="K295" s="272"/>
      <c r="L295" s="273"/>
      <c r="M295" s="274"/>
      <c r="N295" s="275"/>
      <c r="O295" s="276"/>
      <c r="P295" s="273"/>
      <c r="Q295" s="276"/>
      <c r="R295" s="277"/>
      <c r="S295" s="276"/>
      <c r="T295" s="276"/>
      <c r="U295" s="276"/>
      <c r="V295" s="249">
        <v>0</v>
      </c>
      <c r="W295" s="278">
        <f>M295-V295</f>
        <v>0</v>
      </c>
      <c r="X295" s="279"/>
      <c r="Y295" s="249"/>
      <c r="Z295" s="265"/>
    </row>
    <row r="296" spans="1:26" s="304" customFormat="1" ht="18" customHeight="1">
      <c r="B296" s="281">
        <f t="shared" si="88"/>
        <v>253</v>
      </c>
      <c r="C296" s="305" t="s">
        <v>171</v>
      </c>
      <c r="D296" s="306"/>
      <c r="E296" s="307"/>
      <c r="F296" s="306"/>
      <c r="G296" s="308"/>
      <c r="H296" s="308"/>
      <c r="I296" s="306"/>
      <c r="J296" s="287"/>
      <c r="K296" s="309">
        <f>SUM(K290:K295)</f>
        <v>0</v>
      </c>
      <c r="L296" s="288"/>
      <c r="M296" s="290">
        <f>SUM(M290:M295)</f>
        <v>0</v>
      </c>
      <c r="N296" s="288"/>
      <c r="O296" s="290">
        <f>SUM(O290:O295)</f>
        <v>0</v>
      </c>
      <c r="P296" s="288"/>
      <c r="Q296" s="290">
        <f>SUM(Q290:Q295)</f>
        <v>0</v>
      </c>
      <c r="R296" s="289">
        <f>IFERROR(+Q296/K296,0)</f>
        <v>0</v>
      </c>
      <c r="S296" s="290"/>
      <c r="T296" s="290">
        <f>SUM(T290:T295)</f>
        <v>0</v>
      </c>
      <c r="U296" s="290"/>
      <c r="V296" s="249">
        <v>13367900.56804</v>
      </c>
      <c r="W296" s="278">
        <f>M296-V296</f>
        <v>-13367900.56804</v>
      </c>
      <c r="X296" s="279"/>
      <c r="Y296" s="249"/>
      <c r="Z296" s="265"/>
    </row>
    <row r="297" spans="1:26" s="217" customFormat="1" ht="18" customHeight="1">
      <c r="B297" s="260">
        <f t="shared" si="88"/>
        <v>254</v>
      </c>
      <c r="C297" s="291" t="s">
        <v>467</v>
      </c>
      <c r="D297" s="310"/>
      <c r="E297" s="293"/>
      <c r="F297" s="310"/>
      <c r="G297" s="311"/>
      <c r="H297" s="311"/>
      <c r="I297" s="310"/>
      <c r="J297" s="295"/>
      <c r="K297" s="295"/>
      <c r="L297" s="299"/>
      <c r="M297" s="296"/>
      <c r="N297" s="297"/>
      <c r="O297" s="298"/>
      <c r="P297" s="299"/>
      <c r="Q297" s="298"/>
      <c r="R297" s="300"/>
      <c r="S297" s="298"/>
      <c r="T297" s="298"/>
      <c r="U297" s="298"/>
      <c r="V297" s="249"/>
      <c r="W297" s="278">
        <f>M297-V297</f>
        <v>0</v>
      </c>
      <c r="X297" s="279"/>
      <c r="Y297" s="249"/>
      <c r="Z297" s="265"/>
    </row>
    <row r="298" spans="1:26" ht="18" customHeight="1">
      <c r="A298" s="313" t="str">
        <f t="shared" ref="A298:A307" si="108">+C298&amp;LEFT(D298,10)&amp;E298</f>
        <v>Demolition EquipmentEF-703-170EA</v>
      </c>
      <c r="B298" s="266">
        <f t="shared" si="88"/>
        <v>255</v>
      </c>
      <c r="C298" s="301" t="s">
        <v>468</v>
      </c>
      <c r="D298" s="251" t="s">
        <v>469</v>
      </c>
      <c r="E298" s="252" t="s">
        <v>175</v>
      </c>
      <c r="F298" s="251">
        <v>1</v>
      </c>
      <c r="G298" s="303">
        <v>0</v>
      </c>
      <c r="H298" s="303">
        <v>3465.26</v>
      </c>
      <c r="I298" s="251"/>
      <c r="J298" s="272">
        <f t="shared" ref="J298:J307" si="109">I298+H298+G298</f>
        <v>3465.26</v>
      </c>
      <c r="K298" s="272">
        <f t="shared" ref="K298:K307" si="110">J298*F298</f>
        <v>3465.26</v>
      </c>
      <c r="L298" s="273"/>
      <c r="M298" s="276">
        <f t="shared" ref="M298:M307" si="111">L298*J298</f>
        <v>0</v>
      </c>
      <c r="N298" s="275"/>
      <c r="O298" s="276">
        <f t="shared" ref="O298:O307" si="112">N298*J298</f>
        <v>0</v>
      </c>
      <c r="P298" s="273">
        <f t="shared" ref="P298:P307" si="113">N298+L298</f>
        <v>0</v>
      </c>
      <c r="Q298" s="276">
        <f t="shared" ref="Q298:Q307" si="114">P298*J298</f>
        <v>0</v>
      </c>
      <c r="R298" s="277">
        <f t="shared" ref="R298:R307" si="115">IFERROR(Q298/K298,0)</f>
        <v>0</v>
      </c>
      <c r="S298" s="276">
        <f t="shared" ref="S298:S307" si="116">F298-P298</f>
        <v>1</v>
      </c>
      <c r="T298" s="276">
        <f t="shared" ref="T298:T307" si="117">K298-Q298</f>
        <v>3465.26</v>
      </c>
      <c r="U298" s="276"/>
      <c r="V298" s="249"/>
      <c r="W298" s="278"/>
      <c r="X298" s="279"/>
      <c r="Y298" s="249"/>
      <c r="Z298" s="265"/>
    </row>
    <row r="299" spans="1:26" ht="18" customHeight="1">
      <c r="A299" s="313" t="str">
        <f t="shared" si="108"/>
        <v>Demolition EquipmentEF-703-170EA</v>
      </c>
      <c r="B299" s="266">
        <f t="shared" si="88"/>
        <v>256</v>
      </c>
      <c r="C299" s="301" t="s">
        <v>468</v>
      </c>
      <c r="D299" s="251" t="s">
        <v>470</v>
      </c>
      <c r="E299" s="252" t="s">
        <v>175</v>
      </c>
      <c r="F299" s="251">
        <v>1</v>
      </c>
      <c r="G299" s="303">
        <v>0</v>
      </c>
      <c r="H299" s="303">
        <v>3465.26</v>
      </c>
      <c r="I299" s="251"/>
      <c r="J299" s="272">
        <f t="shared" si="109"/>
        <v>3465.26</v>
      </c>
      <c r="K299" s="272">
        <f t="shared" si="110"/>
        <v>3465.26</v>
      </c>
      <c r="L299" s="273"/>
      <c r="M299" s="274">
        <f t="shared" si="111"/>
        <v>0</v>
      </c>
      <c r="N299" s="275"/>
      <c r="O299" s="276">
        <f t="shared" si="112"/>
        <v>0</v>
      </c>
      <c r="P299" s="273">
        <f t="shared" si="113"/>
        <v>0</v>
      </c>
      <c r="Q299" s="276">
        <f t="shared" si="114"/>
        <v>0</v>
      </c>
      <c r="R299" s="277">
        <f t="shared" si="115"/>
        <v>0</v>
      </c>
      <c r="S299" s="276">
        <f t="shared" si="116"/>
        <v>1</v>
      </c>
      <c r="T299" s="276">
        <f t="shared" si="117"/>
        <v>3465.26</v>
      </c>
      <c r="U299" s="276"/>
      <c r="V299" s="249"/>
      <c r="W299" s="278"/>
      <c r="X299" s="279"/>
      <c r="Y299" s="249"/>
      <c r="Z299" s="265"/>
    </row>
    <row r="300" spans="1:26" ht="18" customHeight="1">
      <c r="A300" s="313" t="str">
        <f t="shared" si="108"/>
        <v>Demolition EquipmentRP-1 (InclEA</v>
      </c>
      <c r="B300" s="266">
        <f t="shared" ref="B300:B363" si="118">B299+1</f>
        <v>257</v>
      </c>
      <c r="C300" s="301" t="s">
        <v>468</v>
      </c>
      <c r="D300" s="251" t="s">
        <v>471</v>
      </c>
      <c r="E300" s="252" t="s">
        <v>175</v>
      </c>
      <c r="F300" s="251">
        <v>1</v>
      </c>
      <c r="G300" s="303">
        <v>0</v>
      </c>
      <c r="H300" s="303">
        <v>802.47</v>
      </c>
      <c r="I300" s="251"/>
      <c r="J300" s="272">
        <f t="shared" si="109"/>
        <v>802.47</v>
      </c>
      <c r="K300" s="272">
        <f t="shared" si="110"/>
        <v>802.47</v>
      </c>
      <c r="L300" s="273"/>
      <c r="M300" s="274">
        <f t="shared" si="111"/>
        <v>0</v>
      </c>
      <c r="N300" s="275"/>
      <c r="O300" s="276">
        <f t="shared" si="112"/>
        <v>0</v>
      </c>
      <c r="P300" s="273">
        <f t="shared" si="113"/>
        <v>0</v>
      </c>
      <c r="Q300" s="276">
        <f t="shared" si="114"/>
        <v>0</v>
      </c>
      <c r="R300" s="277">
        <f t="shared" si="115"/>
        <v>0</v>
      </c>
      <c r="S300" s="276">
        <f t="shared" si="116"/>
        <v>1</v>
      </c>
      <c r="T300" s="276">
        <f t="shared" si="117"/>
        <v>802.47</v>
      </c>
      <c r="U300" s="276"/>
      <c r="V300" s="249"/>
      <c r="W300" s="278"/>
      <c r="X300" s="279"/>
      <c r="Y300" s="249"/>
      <c r="Z300" s="313"/>
    </row>
    <row r="301" spans="1:26" ht="18" customHeight="1">
      <c r="A301" s="313" t="str">
        <f t="shared" si="108"/>
        <v>Demolition EquipmentWH-1 (InclEA</v>
      </c>
      <c r="B301" s="266">
        <f t="shared" si="118"/>
        <v>258</v>
      </c>
      <c r="C301" s="301" t="s">
        <v>468</v>
      </c>
      <c r="D301" s="251" t="s">
        <v>472</v>
      </c>
      <c r="E301" s="252" t="s">
        <v>175</v>
      </c>
      <c r="F301" s="251">
        <v>1</v>
      </c>
      <c r="G301" s="303">
        <v>0</v>
      </c>
      <c r="H301" s="303">
        <v>1386.1</v>
      </c>
      <c r="I301" s="251"/>
      <c r="J301" s="272">
        <f t="shared" si="109"/>
        <v>1386.1</v>
      </c>
      <c r="K301" s="272">
        <f t="shared" si="110"/>
        <v>1386.1</v>
      </c>
      <c r="L301" s="273"/>
      <c r="M301" s="274">
        <f t="shared" si="111"/>
        <v>0</v>
      </c>
      <c r="N301" s="275"/>
      <c r="O301" s="276">
        <f t="shared" si="112"/>
        <v>0</v>
      </c>
      <c r="P301" s="273">
        <f t="shared" si="113"/>
        <v>0</v>
      </c>
      <c r="Q301" s="276">
        <f t="shared" si="114"/>
        <v>0</v>
      </c>
      <c r="R301" s="277">
        <f t="shared" si="115"/>
        <v>0</v>
      </c>
      <c r="S301" s="276">
        <f t="shared" si="116"/>
        <v>1</v>
      </c>
      <c r="T301" s="276">
        <f t="shared" si="117"/>
        <v>1386.1</v>
      </c>
      <c r="U301" s="276"/>
      <c r="V301" s="249"/>
      <c r="W301" s="278"/>
      <c r="X301" s="279"/>
      <c r="Y301" s="249"/>
      <c r="Z301" s="265"/>
    </row>
    <row r="302" spans="1:26" ht="18" customHeight="1">
      <c r="A302" s="313" t="str">
        <f t="shared" si="108"/>
        <v>Demolition EquipmentETWH-1 (InEA</v>
      </c>
      <c r="B302" s="266">
        <f t="shared" si="118"/>
        <v>259</v>
      </c>
      <c r="C302" s="301" t="s">
        <v>468</v>
      </c>
      <c r="D302" s="251" t="s">
        <v>473</v>
      </c>
      <c r="E302" s="252" t="s">
        <v>175</v>
      </c>
      <c r="F302" s="251">
        <v>1</v>
      </c>
      <c r="G302" s="303">
        <v>0</v>
      </c>
      <c r="H302" s="303">
        <v>1021.34</v>
      </c>
      <c r="I302" s="251"/>
      <c r="J302" s="272">
        <f t="shared" si="109"/>
        <v>1021.34</v>
      </c>
      <c r="K302" s="272">
        <f t="shared" si="110"/>
        <v>1021.34</v>
      </c>
      <c r="L302" s="273"/>
      <c r="M302" s="274">
        <f t="shared" si="111"/>
        <v>0</v>
      </c>
      <c r="N302" s="275"/>
      <c r="O302" s="276">
        <f t="shared" si="112"/>
        <v>0</v>
      </c>
      <c r="P302" s="273">
        <f t="shared" si="113"/>
        <v>0</v>
      </c>
      <c r="Q302" s="276">
        <f t="shared" si="114"/>
        <v>0</v>
      </c>
      <c r="R302" s="277">
        <f t="shared" si="115"/>
        <v>0</v>
      </c>
      <c r="S302" s="276">
        <f t="shared" si="116"/>
        <v>1</v>
      </c>
      <c r="T302" s="276">
        <f t="shared" si="117"/>
        <v>1021.34</v>
      </c>
      <c r="U302" s="276"/>
      <c r="V302" s="249"/>
      <c r="W302" s="278"/>
      <c r="X302" s="279"/>
      <c r="Y302" s="249"/>
      <c r="Z302" s="265"/>
    </row>
    <row r="303" spans="1:26" ht="18" customHeight="1">
      <c r="A303" s="313" t="str">
        <f t="shared" si="108"/>
        <v>Demolition EquipmentTMV-1 (IncEA</v>
      </c>
      <c r="B303" s="266">
        <f t="shared" si="118"/>
        <v>260</v>
      </c>
      <c r="C303" s="301" t="s">
        <v>468</v>
      </c>
      <c r="D303" s="251" t="s">
        <v>474</v>
      </c>
      <c r="E303" s="252" t="s">
        <v>175</v>
      </c>
      <c r="F303" s="251">
        <v>1</v>
      </c>
      <c r="G303" s="303">
        <v>0</v>
      </c>
      <c r="H303" s="303">
        <v>656.56</v>
      </c>
      <c r="I303" s="251"/>
      <c r="J303" s="272">
        <f t="shared" si="109"/>
        <v>656.56</v>
      </c>
      <c r="K303" s="272">
        <f t="shared" si="110"/>
        <v>656.56</v>
      </c>
      <c r="L303" s="273"/>
      <c r="M303" s="274">
        <f t="shared" si="111"/>
        <v>0</v>
      </c>
      <c r="N303" s="275"/>
      <c r="O303" s="276">
        <f t="shared" si="112"/>
        <v>0</v>
      </c>
      <c r="P303" s="273">
        <f t="shared" si="113"/>
        <v>0</v>
      </c>
      <c r="Q303" s="276">
        <f t="shared" si="114"/>
        <v>0</v>
      </c>
      <c r="R303" s="277">
        <f t="shared" si="115"/>
        <v>0</v>
      </c>
      <c r="S303" s="276">
        <f t="shared" si="116"/>
        <v>1</v>
      </c>
      <c r="T303" s="276">
        <f t="shared" si="117"/>
        <v>656.56</v>
      </c>
      <c r="U303" s="276"/>
      <c r="V303" s="249"/>
      <c r="W303" s="278"/>
      <c r="X303" s="279"/>
      <c r="Y303" s="249"/>
      <c r="Z303" s="265"/>
    </row>
    <row r="304" spans="1:26" ht="18" customHeight="1">
      <c r="A304" s="313" t="str">
        <f t="shared" si="108"/>
        <v>Demolition EquipmentFOAM WATEREA</v>
      </c>
      <c r="B304" s="266">
        <f t="shared" si="118"/>
        <v>261</v>
      </c>
      <c r="C304" s="301" t="s">
        <v>468</v>
      </c>
      <c r="D304" s="251" t="s">
        <v>475</v>
      </c>
      <c r="E304" s="252" t="s">
        <v>175</v>
      </c>
      <c r="F304" s="251">
        <v>1</v>
      </c>
      <c r="G304" s="303">
        <v>0</v>
      </c>
      <c r="H304" s="303">
        <v>4924.3500000000004</v>
      </c>
      <c r="I304" s="251"/>
      <c r="J304" s="272">
        <f t="shared" si="109"/>
        <v>4924.3500000000004</v>
      </c>
      <c r="K304" s="272">
        <f t="shared" si="110"/>
        <v>4924.3500000000004</v>
      </c>
      <c r="L304" s="273"/>
      <c r="M304" s="274">
        <f t="shared" si="111"/>
        <v>0</v>
      </c>
      <c r="N304" s="275"/>
      <c r="O304" s="276">
        <f t="shared" si="112"/>
        <v>0</v>
      </c>
      <c r="P304" s="273">
        <f t="shared" si="113"/>
        <v>0</v>
      </c>
      <c r="Q304" s="276">
        <f t="shared" si="114"/>
        <v>0</v>
      </c>
      <c r="R304" s="277">
        <f t="shared" si="115"/>
        <v>0</v>
      </c>
      <c r="S304" s="276">
        <f t="shared" si="116"/>
        <v>1</v>
      </c>
      <c r="T304" s="276">
        <f t="shared" si="117"/>
        <v>4924.3500000000004</v>
      </c>
      <c r="U304" s="276"/>
      <c r="V304" s="249"/>
      <c r="W304" s="278"/>
      <c r="X304" s="279"/>
      <c r="Y304" s="249"/>
      <c r="Z304" s="313"/>
    </row>
    <row r="305" spans="1:26" ht="18" customHeight="1">
      <c r="A305" s="313" t="str">
        <f t="shared" si="108"/>
        <v>Demolition EquipmentEMERGENCY/EA</v>
      </c>
      <c r="B305" s="266">
        <f t="shared" si="118"/>
        <v>262</v>
      </c>
      <c r="C305" s="301" t="s">
        <v>468</v>
      </c>
      <c r="D305" s="251" t="s">
        <v>476</v>
      </c>
      <c r="E305" s="252" t="s">
        <v>175</v>
      </c>
      <c r="F305" s="251">
        <v>1</v>
      </c>
      <c r="G305" s="303">
        <v>0</v>
      </c>
      <c r="H305" s="303">
        <v>1313.15</v>
      </c>
      <c r="I305" s="251"/>
      <c r="J305" s="272">
        <f t="shared" si="109"/>
        <v>1313.15</v>
      </c>
      <c r="K305" s="272">
        <f t="shared" si="110"/>
        <v>1313.15</v>
      </c>
      <c r="L305" s="273"/>
      <c r="M305" s="274">
        <f t="shared" si="111"/>
        <v>0</v>
      </c>
      <c r="N305" s="275"/>
      <c r="O305" s="276">
        <f t="shared" si="112"/>
        <v>0</v>
      </c>
      <c r="P305" s="273">
        <f t="shared" si="113"/>
        <v>0</v>
      </c>
      <c r="Q305" s="276">
        <f t="shared" si="114"/>
        <v>0</v>
      </c>
      <c r="R305" s="277">
        <f t="shared" si="115"/>
        <v>0</v>
      </c>
      <c r="S305" s="276">
        <f t="shared" si="116"/>
        <v>1</v>
      </c>
      <c r="T305" s="276">
        <f t="shared" si="117"/>
        <v>1313.15</v>
      </c>
      <c r="U305" s="276"/>
      <c r="V305" s="249"/>
      <c r="W305" s="278"/>
      <c r="X305" s="279"/>
      <c r="Y305" s="249"/>
      <c r="Z305" s="265"/>
    </row>
    <row r="306" spans="1:26" ht="18" customHeight="1">
      <c r="A306" s="313" t="str">
        <f t="shared" si="108"/>
        <v>Demolition Air TerminalDamper, DiEA</v>
      </c>
      <c r="B306" s="266">
        <f t="shared" si="118"/>
        <v>263</v>
      </c>
      <c r="C306" s="301" t="s">
        <v>477</v>
      </c>
      <c r="D306" s="251" t="s">
        <v>478</v>
      </c>
      <c r="E306" s="252" t="s">
        <v>175</v>
      </c>
      <c r="F306" s="251">
        <v>3</v>
      </c>
      <c r="G306" s="303">
        <v>0</v>
      </c>
      <c r="H306" s="303">
        <v>145.9</v>
      </c>
      <c r="I306" s="251"/>
      <c r="J306" s="272">
        <f t="shared" si="109"/>
        <v>145.9</v>
      </c>
      <c r="K306" s="272">
        <f t="shared" si="110"/>
        <v>437.70000000000005</v>
      </c>
      <c r="L306" s="273"/>
      <c r="M306" s="274">
        <f t="shared" si="111"/>
        <v>0</v>
      </c>
      <c r="N306" s="275"/>
      <c r="O306" s="276">
        <f t="shared" si="112"/>
        <v>0</v>
      </c>
      <c r="P306" s="273">
        <f t="shared" si="113"/>
        <v>0</v>
      </c>
      <c r="Q306" s="276">
        <f t="shared" si="114"/>
        <v>0</v>
      </c>
      <c r="R306" s="277">
        <f t="shared" si="115"/>
        <v>0</v>
      </c>
      <c r="S306" s="276">
        <f t="shared" si="116"/>
        <v>3</v>
      </c>
      <c r="T306" s="276">
        <f t="shared" si="117"/>
        <v>437.70000000000005</v>
      </c>
      <c r="U306" s="276"/>
      <c r="V306" s="249"/>
      <c r="W306" s="278"/>
      <c r="X306" s="279"/>
      <c r="Y306" s="249"/>
      <c r="Z306" s="265"/>
    </row>
    <row r="307" spans="1:26" ht="18" customHeight="1">
      <c r="A307" s="313" t="str">
        <f t="shared" si="108"/>
        <v>Demolition PipeGalva BlacM</v>
      </c>
      <c r="B307" s="266">
        <f t="shared" si="118"/>
        <v>264</v>
      </c>
      <c r="C307" s="301" t="s">
        <v>479</v>
      </c>
      <c r="D307" s="251" t="s">
        <v>480</v>
      </c>
      <c r="E307" s="252" t="s">
        <v>372</v>
      </c>
      <c r="F307" s="251">
        <v>276.7</v>
      </c>
      <c r="G307" s="303">
        <v>0</v>
      </c>
      <c r="H307" s="303">
        <v>31.77</v>
      </c>
      <c r="I307" s="251"/>
      <c r="J307" s="272">
        <f t="shared" si="109"/>
        <v>31.77</v>
      </c>
      <c r="K307" s="272">
        <f t="shared" si="110"/>
        <v>8790.759</v>
      </c>
      <c r="L307" s="273"/>
      <c r="M307" s="274">
        <f t="shared" si="111"/>
        <v>0</v>
      </c>
      <c r="N307" s="275"/>
      <c r="O307" s="276">
        <f t="shared" si="112"/>
        <v>0</v>
      </c>
      <c r="P307" s="273">
        <f t="shared" si="113"/>
        <v>0</v>
      </c>
      <c r="Q307" s="276">
        <f t="shared" si="114"/>
        <v>0</v>
      </c>
      <c r="R307" s="277">
        <f t="shared" si="115"/>
        <v>0</v>
      </c>
      <c r="S307" s="276">
        <f t="shared" si="116"/>
        <v>276.7</v>
      </c>
      <c r="T307" s="276">
        <f t="shared" si="117"/>
        <v>8790.759</v>
      </c>
      <c r="U307" s="276"/>
      <c r="V307" s="249"/>
      <c r="W307" s="278"/>
      <c r="X307" s="279"/>
      <c r="Y307" s="249"/>
      <c r="Z307" s="313"/>
    </row>
    <row r="308" spans="1:26" ht="18" customHeight="1">
      <c r="B308" s="266">
        <f t="shared" si="118"/>
        <v>265</v>
      </c>
      <c r="C308" s="301"/>
      <c r="D308" s="251"/>
      <c r="E308" s="252"/>
      <c r="F308" s="251"/>
      <c r="G308" s="303"/>
      <c r="H308" s="303"/>
      <c r="I308" s="251"/>
      <c r="J308" s="272"/>
      <c r="K308" s="272"/>
      <c r="L308" s="273"/>
      <c r="M308" s="274"/>
      <c r="N308" s="275"/>
      <c r="O308" s="276"/>
      <c r="P308" s="273"/>
      <c r="Q308" s="276"/>
      <c r="R308" s="277"/>
      <c r="S308" s="276"/>
      <c r="T308" s="276"/>
      <c r="U308" s="276"/>
      <c r="V308" s="249">
        <v>0</v>
      </c>
      <c r="W308" s="278">
        <f t="shared" ref="W308:W342" si="119">M308-V308</f>
        <v>0</v>
      </c>
      <c r="X308" s="279"/>
      <c r="Y308" s="249"/>
      <c r="Z308" s="265"/>
    </row>
    <row r="309" spans="1:26" s="304" customFormat="1" ht="18" customHeight="1">
      <c r="B309" s="281">
        <f t="shared" si="118"/>
        <v>266</v>
      </c>
      <c r="C309" s="305" t="s">
        <v>171</v>
      </c>
      <c r="D309" s="306"/>
      <c r="E309" s="307"/>
      <c r="F309" s="306"/>
      <c r="G309" s="308"/>
      <c r="H309" s="308"/>
      <c r="I309" s="306"/>
      <c r="J309" s="287"/>
      <c r="K309" s="309">
        <f>SUM(K298:K308)</f>
        <v>26262.949000000001</v>
      </c>
      <c r="L309" s="288"/>
      <c r="M309" s="290">
        <f>SUM(M298:M308)</f>
        <v>0</v>
      </c>
      <c r="N309" s="288"/>
      <c r="O309" s="290">
        <f>SUM(O298:O308)</f>
        <v>0</v>
      </c>
      <c r="P309" s="288"/>
      <c r="Q309" s="290">
        <f>SUM(Q298:Q308)</f>
        <v>0</v>
      </c>
      <c r="R309" s="289">
        <f>IFERROR(+Q309/K309,0)</f>
        <v>0</v>
      </c>
      <c r="S309" s="290"/>
      <c r="T309" s="290">
        <f>SUM(T298:T308)</f>
        <v>26262.949000000001</v>
      </c>
      <c r="U309" s="290"/>
      <c r="V309" s="249">
        <v>12515235.949611999</v>
      </c>
      <c r="W309" s="278">
        <f t="shared" si="119"/>
        <v>-12515235.949611999</v>
      </c>
      <c r="X309" s="279"/>
      <c r="Y309" s="249"/>
      <c r="Z309" s="265"/>
    </row>
    <row r="310" spans="1:26" s="217" customFormat="1" ht="18" customHeight="1">
      <c r="B310" s="260">
        <f t="shared" si="118"/>
        <v>267</v>
      </c>
      <c r="C310" s="291" t="s">
        <v>481</v>
      </c>
      <c r="D310" s="310"/>
      <c r="E310" s="293"/>
      <c r="F310" s="310"/>
      <c r="G310" s="311"/>
      <c r="H310" s="311"/>
      <c r="I310" s="310"/>
      <c r="J310" s="295"/>
      <c r="K310" s="295"/>
      <c r="L310" s="299"/>
      <c r="M310" s="296"/>
      <c r="N310" s="297"/>
      <c r="O310" s="298"/>
      <c r="P310" s="299"/>
      <c r="Q310" s="298"/>
      <c r="R310" s="300"/>
      <c r="S310" s="298"/>
      <c r="T310" s="298"/>
      <c r="U310" s="298"/>
      <c r="V310" s="249"/>
      <c r="W310" s="278">
        <f t="shared" si="119"/>
        <v>0</v>
      </c>
      <c r="X310" s="279"/>
      <c r="Y310" s="249"/>
      <c r="Z310" s="265"/>
    </row>
    <row r="311" spans="1:26" ht="18" customHeight="1">
      <c r="B311" s="266">
        <f t="shared" si="118"/>
        <v>268</v>
      </c>
      <c r="C311" s="301" t="s">
        <v>276</v>
      </c>
      <c r="D311" s="251"/>
      <c r="E311" s="252"/>
      <c r="F311" s="251"/>
      <c r="G311" s="303"/>
      <c r="H311" s="303"/>
      <c r="I311" s="251"/>
      <c r="J311" s="272">
        <f t="shared" ref="J311:J337" si="120">I311+H311+G311</f>
        <v>0</v>
      </c>
      <c r="K311" s="272">
        <f t="shared" ref="K311:K337" si="121">J311*F311</f>
        <v>0</v>
      </c>
      <c r="L311" s="273"/>
      <c r="M311" s="274">
        <f t="shared" ref="M311:M337" si="122">L311*J311</f>
        <v>0</v>
      </c>
      <c r="N311" s="275"/>
      <c r="O311" s="276">
        <f t="shared" ref="O311:O337" si="123">N311*J311</f>
        <v>0</v>
      </c>
      <c r="P311" s="273">
        <f t="shared" ref="P311:P337" si="124">N311+L311</f>
        <v>0</v>
      </c>
      <c r="Q311" s="276">
        <f t="shared" ref="Q311:Q337" si="125">P311*J311</f>
        <v>0</v>
      </c>
      <c r="R311" s="277">
        <f t="shared" ref="R311:R337" si="126">IFERROR(Q311/K311,0)</f>
        <v>0</v>
      </c>
      <c r="S311" s="276">
        <f t="shared" ref="S311:S337" si="127">F311-P311</f>
        <v>0</v>
      </c>
      <c r="T311" s="276">
        <f t="shared" ref="T311:T337" si="128">K311-Q311</f>
        <v>0</v>
      </c>
      <c r="U311" s="276"/>
      <c r="V311" s="249">
        <v>0</v>
      </c>
      <c r="W311" s="278">
        <f t="shared" si="119"/>
        <v>0</v>
      </c>
      <c r="X311" s="279"/>
      <c r="Y311" s="249"/>
      <c r="Z311" s="313"/>
    </row>
    <row r="312" spans="1:26" ht="18" customHeight="1">
      <c r="B312" s="266">
        <f t="shared" si="118"/>
        <v>269</v>
      </c>
      <c r="C312" s="301" t="s">
        <v>482</v>
      </c>
      <c r="D312" s="251" t="s">
        <v>483</v>
      </c>
      <c r="E312" s="252" t="s">
        <v>175</v>
      </c>
      <c r="F312" s="251">
        <v>21</v>
      </c>
      <c r="G312" s="303">
        <v>0</v>
      </c>
      <c r="H312" s="303">
        <v>1038.1199999999999</v>
      </c>
      <c r="I312" s="251"/>
      <c r="J312" s="272">
        <f t="shared" si="120"/>
        <v>1038.1199999999999</v>
      </c>
      <c r="K312" s="272">
        <f t="shared" si="121"/>
        <v>21800.519999999997</v>
      </c>
      <c r="L312" s="273"/>
      <c r="M312" s="274">
        <f t="shared" si="122"/>
        <v>0</v>
      </c>
      <c r="N312" s="275"/>
      <c r="O312" s="276">
        <f t="shared" si="123"/>
        <v>0</v>
      </c>
      <c r="P312" s="273">
        <f t="shared" si="124"/>
        <v>0</v>
      </c>
      <c r="Q312" s="276">
        <f t="shared" si="125"/>
        <v>0</v>
      </c>
      <c r="R312" s="277">
        <f t="shared" si="126"/>
        <v>0</v>
      </c>
      <c r="S312" s="276">
        <f t="shared" si="127"/>
        <v>21</v>
      </c>
      <c r="T312" s="276">
        <f t="shared" si="128"/>
        <v>21800.519999999997</v>
      </c>
      <c r="U312" s="276"/>
      <c r="V312" s="249">
        <v>0</v>
      </c>
      <c r="W312" s="278">
        <f t="shared" si="119"/>
        <v>0</v>
      </c>
      <c r="X312" s="279"/>
      <c r="Y312" s="249"/>
      <c r="Z312" s="313"/>
    </row>
    <row r="313" spans="1:26" ht="18" customHeight="1">
      <c r="B313" s="266">
        <f t="shared" si="118"/>
        <v>270</v>
      </c>
      <c r="C313" s="301" t="s">
        <v>484</v>
      </c>
      <c r="D313" s="251"/>
      <c r="E313" s="252"/>
      <c r="F313" s="251"/>
      <c r="G313" s="303">
        <v>0</v>
      </c>
      <c r="H313" s="303"/>
      <c r="I313" s="251"/>
      <c r="J313" s="272">
        <f t="shared" si="120"/>
        <v>0</v>
      </c>
      <c r="K313" s="272">
        <f t="shared" si="121"/>
        <v>0</v>
      </c>
      <c r="L313" s="273"/>
      <c r="M313" s="274">
        <f t="shared" si="122"/>
        <v>0</v>
      </c>
      <c r="N313" s="275"/>
      <c r="O313" s="276">
        <f t="shared" si="123"/>
        <v>0</v>
      </c>
      <c r="P313" s="273">
        <f t="shared" si="124"/>
        <v>0</v>
      </c>
      <c r="Q313" s="276">
        <f t="shared" si="125"/>
        <v>0</v>
      </c>
      <c r="R313" s="277">
        <f t="shared" si="126"/>
        <v>0</v>
      </c>
      <c r="S313" s="276">
        <f t="shared" si="127"/>
        <v>0</v>
      </c>
      <c r="T313" s="276">
        <f t="shared" si="128"/>
        <v>0</v>
      </c>
      <c r="U313" s="276"/>
      <c r="V313" s="249">
        <v>0</v>
      </c>
      <c r="W313" s="278">
        <f t="shared" si="119"/>
        <v>0</v>
      </c>
      <c r="X313" s="279"/>
      <c r="Y313" s="249"/>
      <c r="Z313" s="313"/>
    </row>
    <row r="314" spans="1:26" ht="18" customHeight="1">
      <c r="B314" s="266">
        <f t="shared" si="118"/>
        <v>271</v>
      </c>
      <c r="C314" s="301" t="s">
        <v>485</v>
      </c>
      <c r="D314" s="251" t="s">
        <v>486</v>
      </c>
      <c r="E314" s="252" t="s">
        <v>166</v>
      </c>
      <c r="F314" s="251">
        <v>406</v>
      </c>
      <c r="G314" s="303">
        <v>0</v>
      </c>
      <c r="H314" s="303">
        <v>145.94</v>
      </c>
      <c r="I314" s="251"/>
      <c r="J314" s="272">
        <f t="shared" si="120"/>
        <v>145.94</v>
      </c>
      <c r="K314" s="272">
        <f t="shared" si="121"/>
        <v>59251.64</v>
      </c>
      <c r="L314" s="273"/>
      <c r="M314" s="274">
        <f t="shared" si="122"/>
        <v>0</v>
      </c>
      <c r="N314" s="275"/>
      <c r="O314" s="276">
        <f t="shared" si="123"/>
        <v>0</v>
      </c>
      <c r="P314" s="273">
        <f t="shared" si="124"/>
        <v>0</v>
      </c>
      <c r="Q314" s="276">
        <f t="shared" si="125"/>
        <v>0</v>
      </c>
      <c r="R314" s="277">
        <f t="shared" si="126"/>
        <v>0</v>
      </c>
      <c r="S314" s="276">
        <f t="shared" si="127"/>
        <v>406</v>
      </c>
      <c r="T314" s="276">
        <f t="shared" si="128"/>
        <v>59251.64</v>
      </c>
      <c r="U314" s="276"/>
      <c r="V314" s="249">
        <v>0</v>
      </c>
      <c r="W314" s="278">
        <f t="shared" si="119"/>
        <v>0</v>
      </c>
      <c r="X314" s="279"/>
      <c r="Y314" s="249"/>
      <c r="Z314" s="313"/>
    </row>
    <row r="315" spans="1:26" ht="18" customHeight="1">
      <c r="B315" s="266">
        <f t="shared" si="118"/>
        <v>272</v>
      </c>
      <c r="C315" s="301" t="s">
        <v>487</v>
      </c>
      <c r="D315" s="251" t="s">
        <v>488</v>
      </c>
      <c r="E315" s="252" t="s">
        <v>175</v>
      </c>
      <c r="F315" s="251">
        <v>1</v>
      </c>
      <c r="G315" s="303">
        <v>0</v>
      </c>
      <c r="H315" s="303">
        <v>2870.17</v>
      </c>
      <c r="I315" s="251"/>
      <c r="J315" s="272">
        <f t="shared" si="120"/>
        <v>2870.17</v>
      </c>
      <c r="K315" s="272">
        <f t="shared" si="121"/>
        <v>2870.17</v>
      </c>
      <c r="L315" s="273"/>
      <c r="M315" s="274">
        <f t="shared" si="122"/>
        <v>0</v>
      </c>
      <c r="N315" s="275"/>
      <c r="O315" s="276">
        <f t="shared" si="123"/>
        <v>0</v>
      </c>
      <c r="P315" s="273">
        <f t="shared" si="124"/>
        <v>0</v>
      </c>
      <c r="Q315" s="276">
        <f t="shared" si="125"/>
        <v>0</v>
      </c>
      <c r="R315" s="277">
        <f t="shared" si="126"/>
        <v>0</v>
      </c>
      <c r="S315" s="276">
        <f t="shared" si="127"/>
        <v>1</v>
      </c>
      <c r="T315" s="276">
        <f t="shared" si="128"/>
        <v>2870.17</v>
      </c>
      <c r="U315" s="276"/>
      <c r="V315" s="249">
        <v>0</v>
      </c>
      <c r="W315" s="278">
        <f t="shared" si="119"/>
        <v>0</v>
      </c>
      <c r="X315" s="279"/>
      <c r="Y315" s="249"/>
      <c r="Z315" s="313"/>
    </row>
    <row r="316" spans="1:26" ht="18" customHeight="1">
      <c r="B316" s="266">
        <f t="shared" si="118"/>
        <v>273</v>
      </c>
      <c r="C316" s="301" t="s">
        <v>489</v>
      </c>
      <c r="D316" s="251"/>
      <c r="E316" s="252" t="s">
        <v>175</v>
      </c>
      <c r="F316" s="251">
        <v>2</v>
      </c>
      <c r="G316" s="303">
        <v>0</v>
      </c>
      <c r="H316" s="303">
        <v>6541.24</v>
      </c>
      <c r="I316" s="251"/>
      <c r="J316" s="272">
        <f t="shared" si="120"/>
        <v>6541.24</v>
      </c>
      <c r="K316" s="272">
        <f t="shared" si="121"/>
        <v>13082.48</v>
      </c>
      <c r="L316" s="273"/>
      <c r="M316" s="274">
        <f t="shared" si="122"/>
        <v>0</v>
      </c>
      <c r="N316" s="275"/>
      <c r="O316" s="276">
        <f t="shared" si="123"/>
        <v>0</v>
      </c>
      <c r="P316" s="273">
        <f t="shared" si="124"/>
        <v>0</v>
      </c>
      <c r="Q316" s="276">
        <f t="shared" si="125"/>
        <v>0</v>
      </c>
      <c r="R316" s="277">
        <f t="shared" si="126"/>
        <v>0</v>
      </c>
      <c r="S316" s="276">
        <f t="shared" si="127"/>
        <v>2</v>
      </c>
      <c r="T316" s="276">
        <f t="shared" si="128"/>
        <v>13082.48</v>
      </c>
      <c r="U316" s="276"/>
      <c r="V316" s="249">
        <v>0</v>
      </c>
      <c r="W316" s="278">
        <f t="shared" si="119"/>
        <v>0</v>
      </c>
      <c r="X316" s="279"/>
      <c r="Y316" s="249"/>
      <c r="Z316" s="313"/>
    </row>
    <row r="317" spans="1:26" ht="18" customHeight="1">
      <c r="B317" s="266">
        <f t="shared" si="118"/>
        <v>274</v>
      </c>
      <c r="C317" s="301" t="s">
        <v>490</v>
      </c>
      <c r="D317" s="251"/>
      <c r="E317" s="252"/>
      <c r="F317" s="251"/>
      <c r="G317" s="303">
        <v>0</v>
      </c>
      <c r="H317" s="303">
        <v>0</v>
      </c>
      <c r="I317" s="251"/>
      <c r="J317" s="272">
        <f t="shared" si="120"/>
        <v>0</v>
      </c>
      <c r="K317" s="272">
        <f t="shared" si="121"/>
        <v>0</v>
      </c>
      <c r="L317" s="273"/>
      <c r="M317" s="274">
        <f t="shared" si="122"/>
        <v>0</v>
      </c>
      <c r="N317" s="275"/>
      <c r="O317" s="276">
        <f t="shared" si="123"/>
        <v>0</v>
      </c>
      <c r="P317" s="273">
        <f t="shared" si="124"/>
        <v>0</v>
      </c>
      <c r="Q317" s="276">
        <f t="shared" si="125"/>
        <v>0</v>
      </c>
      <c r="R317" s="277">
        <f t="shared" si="126"/>
        <v>0</v>
      </c>
      <c r="S317" s="276">
        <f t="shared" si="127"/>
        <v>0</v>
      </c>
      <c r="T317" s="276">
        <f t="shared" si="128"/>
        <v>0</v>
      </c>
      <c r="U317" s="276"/>
      <c r="V317" s="249">
        <v>0</v>
      </c>
      <c r="W317" s="278">
        <f t="shared" si="119"/>
        <v>0</v>
      </c>
      <c r="X317" s="279"/>
      <c r="Y317" s="249"/>
      <c r="Z317" s="313"/>
    </row>
    <row r="318" spans="1:26" ht="18" customHeight="1">
      <c r="B318" s="266">
        <f t="shared" si="118"/>
        <v>275</v>
      </c>
      <c r="C318" s="301" t="s">
        <v>491</v>
      </c>
      <c r="D318" s="251"/>
      <c r="E318" s="252"/>
      <c r="F318" s="251"/>
      <c r="G318" s="303">
        <v>0</v>
      </c>
      <c r="H318" s="303">
        <v>0</v>
      </c>
      <c r="I318" s="251"/>
      <c r="J318" s="272">
        <f t="shared" si="120"/>
        <v>0</v>
      </c>
      <c r="K318" s="272">
        <f t="shared" si="121"/>
        <v>0</v>
      </c>
      <c r="L318" s="273"/>
      <c r="M318" s="274">
        <f t="shared" si="122"/>
        <v>0</v>
      </c>
      <c r="N318" s="275"/>
      <c r="O318" s="276">
        <f t="shared" si="123"/>
        <v>0</v>
      </c>
      <c r="P318" s="273">
        <f t="shared" si="124"/>
        <v>0</v>
      </c>
      <c r="Q318" s="276">
        <f t="shared" si="125"/>
        <v>0</v>
      </c>
      <c r="R318" s="277">
        <f t="shared" si="126"/>
        <v>0</v>
      </c>
      <c r="S318" s="276">
        <f t="shared" si="127"/>
        <v>0</v>
      </c>
      <c r="T318" s="276">
        <f t="shared" si="128"/>
        <v>0</v>
      </c>
      <c r="U318" s="276"/>
      <c r="V318" s="249">
        <v>63667.8</v>
      </c>
      <c r="W318" s="278">
        <f t="shared" si="119"/>
        <v>-63667.8</v>
      </c>
      <c r="X318" s="279"/>
      <c r="Y318" s="249"/>
      <c r="Z318" s="313"/>
    </row>
    <row r="319" spans="1:26" ht="18" customHeight="1">
      <c r="B319" s="266">
        <f t="shared" si="118"/>
        <v>276</v>
      </c>
      <c r="C319" s="314" t="s">
        <v>492</v>
      </c>
      <c r="D319" s="251" t="s">
        <v>493</v>
      </c>
      <c r="E319" s="252" t="s">
        <v>166</v>
      </c>
      <c r="F319" s="251">
        <v>90</v>
      </c>
      <c r="G319" s="303">
        <v>0</v>
      </c>
      <c r="H319" s="303">
        <v>123.07</v>
      </c>
      <c r="I319" s="251"/>
      <c r="J319" s="272">
        <f t="shared" si="120"/>
        <v>123.07</v>
      </c>
      <c r="K319" s="272">
        <f t="shared" si="121"/>
        <v>11076.3</v>
      </c>
      <c r="L319" s="273"/>
      <c r="M319" s="274">
        <f t="shared" si="122"/>
        <v>0</v>
      </c>
      <c r="N319" s="275"/>
      <c r="O319" s="276">
        <f t="shared" si="123"/>
        <v>0</v>
      </c>
      <c r="P319" s="273">
        <f t="shared" si="124"/>
        <v>0</v>
      </c>
      <c r="Q319" s="276">
        <f t="shared" si="125"/>
        <v>0</v>
      </c>
      <c r="R319" s="277">
        <f t="shared" si="126"/>
        <v>0</v>
      </c>
      <c r="S319" s="276">
        <f t="shared" si="127"/>
        <v>90</v>
      </c>
      <c r="T319" s="276">
        <f t="shared" si="128"/>
        <v>11076.3</v>
      </c>
      <c r="U319" s="276"/>
      <c r="V319" s="249">
        <v>0</v>
      </c>
      <c r="W319" s="278">
        <f t="shared" si="119"/>
        <v>0</v>
      </c>
      <c r="X319" s="279"/>
      <c r="Y319" s="249"/>
      <c r="Z319" s="265"/>
    </row>
    <row r="320" spans="1:26" ht="18" customHeight="1">
      <c r="B320" s="266">
        <f t="shared" si="118"/>
        <v>277</v>
      </c>
      <c r="C320" s="301" t="s">
        <v>494</v>
      </c>
      <c r="D320" s="251" t="s">
        <v>495</v>
      </c>
      <c r="E320" s="252" t="s">
        <v>175</v>
      </c>
      <c r="F320" s="251">
        <v>1</v>
      </c>
      <c r="G320" s="303">
        <v>0</v>
      </c>
      <c r="H320" s="303">
        <v>2188.77</v>
      </c>
      <c r="I320" s="251"/>
      <c r="J320" s="272">
        <f t="shared" si="120"/>
        <v>2188.77</v>
      </c>
      <c r="K320" s="272">
        <f t="shared" si="121"/>
        <v>2188.77</v>
      </c>
      <c r="L320" s="273"/>
      <c r="M320" s="274">
        <f t="shared" si="122"/>
        <v>0</v>
      </c>
      <c r="N320" s="275"/>
      <c r="O320" s="276">
        <f t="shared" si="123"/>
        <v>0</v>
      </c>
      <c r="P320" s="273">
        <f t="shared" si="124"/>
        <v>0</v>
      </c>
      <c r="Q320" s="276">
        <f t="shared" si="125"/>
        <v>0</v>
      </c>
      <c r="R320" s="277">
        <f t="shared" si="126"/>
        <v>0</v>
      </c>
      <c r="S320" s="276">
        <f t="shared" si="127"/>
        <v>1</v>
      </c>
      <c r="T320" s="276">
        <f t="shared" si="128"/>
        <v>2188.77</v>
      </c>
      <c r="U320" s="276"/>
      <c r="V320" s="249">
        <v>0</v>
      </c>
      <c r="W320" s="278">
        <f t="shared" si="119"/>
        <v>0</v>
      </c>
      <c r="X320" s="279"/>
      <c r="Y320" s="249"/>
      <c r="Z320" s="265"/>
    </row>
    <row r="321" spans="2:26" ht="18" customHeight="1">
      <c r="B321" s="266">
        <f t="shared" si="118"/>
        <v>278</v>
      </c>
      <c r="C321" s="301" t="s">
        <v>496</v>
      </c>
      <c r="D321" s="251"/>
      <c r="E321" s="252" t="s">
        <v>175</v>
      </c>
      <c r="F321" s="251">
        <v>1</v>
      </c>
      <c r="G321" s="303">
        <v>0</v>
      </c>
      <c r="H321" s="303">
        <v>26089.03</v>
      </c>
      <c r="I321" s="251">
        <v>0</v>
      </c>
      <c r="J321" s="272">
        <f t="shared" si="120"/>
        <v>26089.03</v>
      </c>
      <c r="K321" s="272">
        <f t="shared" si="121"/>
        <v>26089.03</v>
      </c>
      <c r="L321" s="273"/>
      <c r="M321" s="274">
        <f t="shared" si="122"/>
        <v>0</v>
      </c>
      <c r="N321" s="275"/>
      <c r="O321" s="276">
        <f t="shared" si="123"/>
        <v>0</v>
      </c>
      <c r="P321" s="273">
        <f t="shared" si="124"/>
        <v>0</v>
      </c>
      <c r="Q321" s="276">
        <f t="shared" si="125"/>
        <v>0</v>
      </c>
      <c r="R321" s="277">
        <f t="shared" si="126"/>
        <v>0</v>
      </c>
      <c r="S321" s="276">
        <f t="shared" si="127"/>
        <v>1</v>
      </c>
      <c r="T321" s="276">
        <f t="shared" si="128"/>
        <v>26089.03</v>
      </c>
      <c r="U321" s="276"/>
      <c r="V321" s="249">
        <v>0</v>
      </c>
      <c r="W321" s="278">
        <f t="shared" si="119"/>
        <v>0</v>
      </c>
      <c r="X321" s="279"/>
      <c r="Y321" s="249"/>
      <c r="Z321" s="265"/>
    </row>
    <row r="322" spans="2:26" ht="18" customHeight="1">
      <c r="B322" s="266">
        <f t="shared" si="118"/>
        <v>279</v>
      </c>
      <c r="C322" s="301" t="s">
        <v>300</v>
      </c>
      <c r="D322" s="251"/>
      <c r="E322" s="252"/>
      <c r="F322" s="251"/>
      <c r="G322" s="303">
        <v>0</v>
      </c>
      <c r="H322" s="303">
        <v>0</v>
      </c>
      <c r="I322" s="251"/>
      <c r="J322" s="272">
        <f t="shared" si="120"/>
        <v>0</v>
      </c>
      <c r="K322" s="272">
        <f t="shared" si="121"/>
        <v>0</v>
      </c>
      <c r="L322" s="273"/>
      <c r="M322" s="274">
        <f t="shared" si="122"/>
        <v>0</v>
      </c>
      <c r="N322" s="275"/>
      <c r="O322" s="276">
        <f t="shared" si="123"/>
        <v>0</v>
      </c>
      <c r="P322" s="273">
        <f t="shared" si="124"/>
        <v>0</v>
      </c>
      <c r="Q322" s="276">
        <f t="shared" si="125"/>
        <v>0</v>
      </c>
      <c r="R322" s="277">
        <f t="shared" si="126"/>
        <v>0</v>
      </c>
      <c r="S322" s="276">
        <f t="shared" si="127"/>
        <v>0</v>
      </c>
      <c r="T322" s="276">
        <f t="shared" si="128"/>
        <v>0</v>
      </c>
      <c r="U322" s="276"/>
      <c r="V322" s="249">
        <v>0</v>
      </c>
      <c r="W322" s="278">
        <f t="shared" si="119"/>
        <v>0</v>
      </c>
      <c r="X322" s="279"/>
      <c r="Y322" s="249"/>
      <c r="Z322" s="265"/>
    </row>
    <row r="323" spans="2:26" ht="18" customHeight="1">
      <c r="B323" s="266">
        <f t="shared" si="118"/>
        <v>280</v>
      </c>
      <c r="C323" s="301" t="s">
        <v>276</v>
      </c>
      <c r="D323" s="251"/>
      <c r="E323" s="252"/>
      <c r="F323" s="251"/>
      <c r="G323" s="303">
        <v>0</v>
      </c>
      <c r="H323" s="303">
        <v>0</v>
      </c>
      <c r="I323" s="251"/>
      <c r="J323" s="272">
        <f t="shared" si="120"/>
        <v>0</v>
      </c>
      <c r="K323" s="272">
        <f t="shared" si="121"/>
        <v>0</v>
      </c>
      <c r="L323" s="273"/>
      <c r="M323" s="274">
        <f t="shared" si="122"/>
        <v>0</v>
      </c>
      <c r="N323" s="275"/>
      <c r="O323" s="276">
        <f t="shared" si="123"/>
        <v>0</v>
      </c>
      <c r="P323" s="273">
        <f t="shared" si="124"/>
        <v>0</v>
      </c>
      <c r="Q323" s="276">
        <f t="shared" si="125"/>
        <v>0</v>
      </c>
      <c r="R323" s="277">
        <f t="shared" si="126"/>
        <v>0</v>
      </c>
      <c r="S323" s="276">
        <f t="shared" si="127"/>
        <v>0</v>
      </c>
      <c r="T323" s="276">
        <f t="shared" si="128"/>
        <v>0</v>
      </c>
      <c r="U323" s="276"/>
      <c r="V323" s="249">
        <v>0</v>
      </c>
      <c r="W323" s="278">
        <f t="shared" si="119"/>
        <v>0</v>
      </c>
      <c r="X323" s="279"/>
      <c r="Y323" s="249"/>
      <c r="Z323" s="265"/>
    </row>
    <row r="324" spans="2:26" ht="18" customHeight="1">
      <c r="B324" s="266">
        <f t="shared" si="118"/>
        <v>281</v>
      </c>
      <c r="C324" s="301" t="s">
        <v>497</v>
      </c>
      <c r="D324" s="251" t="s">
        <v>483</v>
      </c>
      <c r="E324" s="252" t="s">
        <v>175</v>
      </c>
      <c r="F324" s="251">
        <v>1</v>
      </c>
      <c r="G324" s="303">
        <v>0</v>
      </c>
      <c r="H324" s="303">
        <v>9518.81</v>
      </c>
      <c r="I324" s="251">
        <v>0</v>
      </c>
      <c r="J324" s="272">
        <f t="shared" si="120"/>
        <v>9518.81</v>
      </c>
      <c r="K324" s="272">
        <f t="shared" si="121"/>
        <v>9518.81</v>
      </c>
      <c r="L324" s="273"/>
      <c r="M324" s="274">
        <f t="shared" si="122"/>
        <v>0</v>
      </c>
      <c r="N324" s="275"/>
      <c r="O324" s="276">
        <f t="shared" si="123"/>
        <v>0</v>
      </c>
      <c r="P324" s="273">
        <f t="shared" si="124"/>
        <v>0</v>
      </c>
      <c r="Q324" s="276">
        <f t="shared" si="125"/>
        <v>0</v>
      </c>
      <c r="R324" s="277">
        <f t="shared" si="126"/>
        <v>0</v>
      </c>
      <c r="S324" s="276">
        <f t="shared" si="127"/>
        <v>1</v>
      </c>
      <c r="T324" s="276">
        <f t="shared" si="128"/>
        <v>9518.81</v>
      </c>
      <c r="U324" s="276"/>
      <c r="V324" s="249">
        <v>0</v>
      </c>
      <c r="W324" s="278">
        <f t="shared" si="119"/>
        <v>0</v>
      </c>
      <c r="X324" s="279"/>
      <c r="Y324" s="249"/>
      <c r="Z324" s="265"/>
    </row>
    <row r="325" spans="2:26" ht="18" customHeight="1">
      <c r="B325" s="266">
        <f t="shared" si="118"/>
        <v>282</v>
      </c>
      <c r="C325" s="301" t="s">
        <v>498</v>
      </c>
      <c r="D325" s="251"/>
      <c r="E325" s="252" t="s">
        <v>175</v>
      </c>
      <c r="F325" s="251">
        <v>1</v>
      </c>
      <c r="G325" s="303">
        <v>0</v>
      </c>
      <c r="H325" s="303">
        <v>14526.41</v>
      </c>
      <c r="I325" s="251"/>
      <c r="J325" s="272">
        <f t="shared" si="120"/>
        <v>14526.41</v>
      </c>
      <c r="K325" s="272">
        <f t="shared" si="121"/>
        <v>14526.41</v>
      </c>
      <c r="L325" s="273"/>
      <c r="M325" s="274">
        <f t="shared" si="122"/>
        <v>0</v>
      </c>
      <c r="N325" s="275"/>
      <c r="O325" s="276">
        <f t="shared" si="123"/>
        <v>0</v>
      </c>
      <c r="P325" s="273">
        <f t="shared" si="124"/>
        <v>0</v>
      </c>
      <c r="Q325" s="276">
        <f t="shared" si="125"/>
        <v>0</v>
      </c>
      <c r="R325" s="277">
        <f t="shared" si="126"/>
        <v>0</v>
      </c>
      <c r="S325" s="276">
        <f t="shared" si="127"/>
        <v>1</v>
      </c>
      <c r="T325" s="276">
        <f t="shared" si="128"/>
        <v>14526.41</v>
      </c>
      <c r="U325" s="276"/>
      <c r="V325" s="249">
        <v>0</v>
      </c>
      <c r="W325" s="278">
        <f t="shared" si="119"/>
        <v>0</v>
      </c>
      <c r="X325" s="279"/>
      <c r="Y325" s="249"/>
      <c r="Z325" s="265"/>
    </row>
    <row r="326" spans="2:26" ht="18" customHeight="1">
      <c r="B326" s="266">
        <f t="shared" si="118"/>
        <v>283</v>
      </c>
      <c r="C326" s="301" t="s">
        <v>499</v>
      </c>
      <c r="D326" s="251"/>
      <c r="E326" s="252" t="s">
        <v>175</v>
      </c>
      <c r="F326" s="251">
        <v>1</v>
      </c>
      <c r="G326" s="303">
        <v>0</v>
      </c>
      <c r="H326" s="303">
        <v>20452.14</v>
      </c>
      <c r="I326" s="251"/>
      <c r="J326" s="272">
        <f t="shared" si="120"/>
        <v>20452.14</v>
      </c>
      <c r="K326" s="272">
        <f t="shared" si="121"/>
        <v>20452.14</v>
      </c>
      <c r="L326" s="273"/>
      <c r="M326" s="274">
        <f t="shared" si="122"/>
        <v>0</v>
      </c>
      <c r="N326" s="275"/>
      <c r="O326" s="276">
        <f t="shared" si="123"/>
        <v>0</v>
      </c>
      <c r="P326" s="273">
        <f t="shared" si="124"/>
        <v>0</v>
      </c>
      <c r="Q326" s="276">
        <f t="shared" si="125"/>
        <v>0</v>
      </c>
      <c r="R326" s="277">
        <f t="shared" si="126"/>
        <v>0</v>
      </c>
      <c r="S326" s="276">
        <f t="shared" si="127"/>
        <v>1</v>
      </c>
      <c r="T326" s="276">
        <f t="shared" si="128"/>
        <v>20452.14</v>
      </c>
      <c r="U326" s="276"/>
      <c r="V326" s="249">
        <v>0</v>
      </c>
      <c r="W326" s="278">
        <f t="shared" si="119"/>
        <v>0</v>
      </c>
      <c r="X326" s="279"/>
      <c r="Y326" s="249"/>
      <c r="Z326" s="313"/>
    </row>
    <row r="327" spans="2:26" ht="18" customHeight="1">
      <c r="B327" s="266">
        <f t="shared" si="118"/>
        <v>284</v>
      </c>
      <c r="C327" s="301" t="s">
        <v>302</v>
      </c>
      <c r="D327" s="251"/>
      <c r="E327" s="252"/>
      <c r="F327" s="251"/>
      <c r="G327" s="303">
        <v>0</v>
      </c>
      <c r="H327" s="303">
        <v>0</v>
      </c>
      <c r="I327" s="251"/>
      <c r="J327" s="272">
        <f t="shared" si="120"/>
        <v>0</v>
      </c>
      <c r="K327" s="272">
        <f t="shared" si="121"/>
        <v>0</v>
      </c>
      <c r="L327" s="273"/>
      <c r="M327" s="274">
        <f t="shared" si="122"/>
        <v>0</v>
      </c>
      <c r="N327" s="275"/>
      <c r="O327" s="276">
        <f t="shared" si="123"/>
        <v>0</v>
      </c>
      <c r="P327" s="273">
        <f t="shared" si="124"/>
        <v>0</v>
      </c>
      <c r="Q327" s="276">
        <f t="shared" si="125"/>
        <v>0</v>
      </c>
      <c r="R327" s="277">
        <f t="shared" si="126"/>
        <v>0</v>
      </c>
      <c r="S327" s="276">
        <f t="shared" si="127"/>
        <v>0</v>
      </c>
      <c r="T327" s="276">
        <f t="shared" si="128"/>
        <v>0</v>
      </c>
      <c r="U327" s="276"/>
      <c r="V327" s="249">
        <v>0</v>
      </c>
      <c r="W327" s="278">
        <f t="shared" si="119"/>
        <v>0</v>
      </c>
      <c r="X327" s="279"/>
      <c r="Y327" s="249"/>
      <c r="Z327" s="313"/>
    </row>
    <row r="328" spans="2:26" ht="18" customHeight="1">
      <c r="B328" s="266">
        <f t="shared" si="118"/>
        <v>285</v>
      </c>
      <c r="C328" s="301" t="s">
        <v>500</v>
      </c>
      <c r="D328" s="251" t="s">
        <v>501</v>
      </c>
      <c r="E328" s="252" t="s">
        <v>175</v>
      </c>
      <c r="F328" s="251">
        <v>2</v>
      </c>
      <c r="G328" s="303">
        <v>0</v>
      </c>
      <c r="H328" s="303">
        <v>3155.29</v>
      </c>
      <c r="I328" s="251"/>
      <c r="J328" s="272">
        <f t="shared" si="120"/>
        <v>3155.29</v>
      </c>
      <c r="K328" s="272">
        <f t="shared" si="121"/>
        <v>6310.58</v>
      </c>
      <c r="L328" s="273"/>
      <c r="M328" s="274">
        <f t="shared" si="122"/>
        <v>0</v>
      </c>
      <c r="N328" s="275"/>
      <c r="O328" s="276">
        <f t="shared" si="123"/>
        <v>0</v>
      </c>
      <c r="P328" s="273">
        <f t="shared" si="124"/>
        <v>0</v>
      </c>
      <c r="Q328" s="276">
        <f t="shared" si="125"/>
        <v>0</v>
      </c>
      <c r="R328" s="277">
        <f t="shared" si="126"/>
        <v>0</v>
      </c>
      <c r="S328" s="276">
        <f t="shared" si="127"/>
        <v>2</v>
      </c>
      <c r="T328" s="276">
        <f t="shared" si="128"/>
        <v>6310.58</v>
      </c>
      <c r="U328" s="276"/>
      <c r="V328" s="249">
        <v>0</v>
      </c>
      <c r="W328" s="278">
        <f t="shared" si="119"/>
        <v>0</v>
      </c>
      <c r="X328" s="279"/>
      <c r="Y328" s="249"/>
      <c r="Z328" s="313"/>
    </row>
    <row r="329" spans="2:26" ht="18" customHeight="1">
      <c r="B329" s="266">
        <f t="shared" si="118"/>
        <v>286</v>
      </c>
      <c r="C329" s="301" t="s">
        <v>502</v>
      </c>
      <c r="D329" s="251"/>
      <c r="E329" s="252"/>
      <c r="F329" s="251"/>
      <c r="G329" s="303">
        <v>0</v>
      </c>
      <c r="H329" s="303">
        <v>0</v>
      </c>
      <c r="I329" s="251"/>
      <c r="J329" s="272">
        <f t="shared" si="120"/>
        <v>0</v>
      </c>
      <c r="K329" s="272">
        <f t="shared" si="121"/>
        <v>0</v>
      </c>
      <c r="L329" s="273"/>
      <c r="M329" s="274">
        <f t="shared" si="122"/>
        <v>0</v>
      </c>
      <c r="N329" s="275"/>
      <c r="O329" s="276">
        <f t="shared" si="123"/>
        <v>0</v>
      </c>
      <c r="P329" s="273">
        <f t="shared" si="124"/>
        <v>0</v>
      </c>
      <c r="Q329" s="276">
        <f t="shared" si="125"/>
        <v>0</v>
      </c>
      <c r="R329" s="277">
        <f t="shared" si="126"/>
        <v>0</v>
      </c>
      <c r="S329" s="276">
        <f t="shared" si="127"/>
        <v>0</v>
      </c>
      <c r="T329" s="276">
        <f t="shared" si="128"/>
        <v>0</v>
      </c>
      <c r="U329" s="276"/>
      <c r="V329" s="249">
        <v>0</v>
      </c>
      <c r="W329" s="278">
        <f t="shared" si="119"/>
        <v>0</v>
      </c>
      <c r="X329" s="279"/>
      <c r="Y329" s="249"/>
      <c r="Z329" s="313"/>
    </row>
    <row r="330" spans="2:26" ht="18" customHeight="1">
      <c r="B330" s="266">
        <f t="shared" si="118"/>
        <v>287</v>
      </c>
      <c r="C330" s="301" t="s">
        <v>491</v>
      </c>
      <c r="D330" s="251"/>
      <c r="E330" s="252"/>
      <c r="F330" s="251"/>
      <c r="G330" s="303">
        <v>0</v>
      </c>
      <c r="H330" s="303">
        <v>0</v>
      </c>
      <c r="I330" s="251"/>
      <c r="J330" s="272">
        <f t="shared" si="120"/>
        <v>0</v>
      </c>
      <c r="K330" s="272">
        <f t="shared" si="121"/>
        <v>0</v>
      </c>
      <c r="L330" s="273"/>
      <c r="M330" s="274">
        <f t="shared" si="122"/>
        <v>0</v>
      </c>
      <c r="N330" s="275"/>
      <c r="O330" s="276">
        <f t="shared" si="123"/>
        <v>0</v>
      </c>
      <c r="P330" s="273">
        <f t="shared" si="124"/>
        <v>0</v>
      </c>
      <c r="Q330" s="276">
        <f t="shared" si="125"/>
        <v>0</v>
      </c>
      <c r="R330" s="277">
        <f t="shared" si="126"/>
        <v>0</v>
      </c>
      <c r="S330" s="276">
        <f t="shared" si="127"/>
        <v>0</v>
      </c>
      <c r="T330" s="276">
        <f t="shared" si="128"/>
        <v>0</v>
      </c>
      <c r="U330" s="276"/>
      <c r="V330" s="249">
        <v>63667.8</v>
      </c>
      <c r="W330" s="278">
        <f t="shared" si="119"/>
        <v>-63667.8</v>
      </c>
      <c r="X330" s="279"/>
      <c r="Y330" s="249"/>
      <c r="Z330" s="313"/>
    </row>
    <row r="331" spans="2:26" ht="18" customHeight="1">
      <c r="B331" s="266">
        <f t="shared" si="118"/>
        <v>288</v>
      </c>
      <c r="C331" s="314" t="s">
        <v>503</v>
      </c>
      <c r="D331" s="251" t="s">
        <v>504</v>
      </c>
      <c r="E331" s="252" t="s">
        <v>166</v>
      </c>
      <c r="F331" s="251">
        <v>100</v>
      </c>
      <c r="G331" s="303">
        <v>0</v>
      </c>
      <c r="H331" s="303">
        <v>334.94</v>
      </c>
      <c r="I331" s="251"/>
      <c r="J331" s="272">
        <f t="shared" si="120"/>
        <v>334.94</v>
      </c>
      <c r="K331" s="272">
        <f t="shared" si="121"/>
        <v>33494</v>
      </c>
      <c r="L331" s="273"/>
      <c r="M331" s="274">
        <f t="shared" si="122"/>
        <v>0</v>
      </c>
      <c r="N331" s="275"/>
      <c r="O331" s="276">
        <f t="shared" si="123"/>
        <v>0</v>
      </c>
      <c r="P331" s="273">
        <f t="shared" si="124"/>
        <v>0</v>
      </c>
      <c r="Q331" s="276">
        <f t="shared" si="125"/>
        <v>0</v>
      </c>
      <c r="R331" s="277">
        <f t="shared" si="126"/>
        <v>0</v>
      </c>
      <c r="S331" s="276">
        <f t="shared" si="127"/>
        <v>100</v>
      </c>
      <c r="T331" s="276">
        <f t="shared" si="128"/>
        <v>33494</v>
      </c>
      <c r="U331" s="276"/>
      <c r="V331" s="249">
        <v>0</v>
      </c>
      <c r="W331" s="278">
        <f t="shared" si="119"/>
        <v>0</v>
      </c>
      <c r="X331" s="279"/>
      <c r="Y331" s="249"/>
      <c r="Z331" s="265"/>
    </row>
    <row r="332" spans="2:26" ht="18" customHeight="1">
      <c r="B332" s="266">
        <f t="shared" si="118"/>
        <v>289</v>
      </c>
      <c r="C332" s="301" t="s">
        <v>505</v>
      </c>
      <c r="D332" s="251" t="s">
        <v>506</v>
      </c>
      <c r="E332" s="252" t="s">
        <v>175</v>
      </c>
      <c r="F332" s="251">
        <v>1</v>
      </c>
      <c r="G332" s="303">
        <v>0</v>
      </c>
      <c r="H332" s="303">
        <v>1904.68</v>
      </c>
      <c r="I332" s="251"/>
      <c r="J332" s="272">
        <f t="shared" si="120"/>
        <v>1904.68</v>
      </c>
      <c r="K332" s="272">
        <f t="shared" si="121"/>
        <v>1904.68</v>
      </c>
      <c r="L332" s="273"/>
      <c r="M332" s="274">
        <f t="shared" si="122"/>
        <v>0</v>
      </c>
      <c r="N332" s="275"/>
      <c r="O332" s="276">
        <f t="shared" si="123"/>
        <v>0</v>
      </c>
      <c r="P332" s="273">
        <f t="shared" si="124"/>
        <v>0</v>
      </c>
      <c r="Q332" s="276">
        <f t="shared" si="125"/>
        <v>0</v>
      </c>
      <c r="R332" s="277">
        <f t="shared" si="126"/>
        <v>0</v>
      </c>
      <c r="S332" s="276">
        <f t="shared" si="127"/>
        <v>1</v>
      </c>
      <c r="T332" s="276">
        <f t="shared" si="128"/>
        <v>1904.68</v>
      </c>
      <c r="U332" s="276"/>
      <c r="V332" s="249">
        <v>0</v>
      </c>
      <c r="W332" s="278">
        <f t="shared" si="119"/>
        <v>0</v>
      </c>
      <c r="X332" s="279"/>
      <c r="Y332" s="249"/>
      <c r="Z332" s="265"/>
    </row>
    <row r="333" spans="2:26" ht="18" customHeight="1">
      <c r="B333" s="266">
        <f t="shared" si="118"/>
        <v>290</v>
      </c>
      <c r="C333" s="301" t="s">
        <v>507</v>
      </c>
      <c r="D333" s="251" t="s">
        <v>508</v>
      </c>
      <c r="E333" s="252" t="s">
        <v>175</v>
      </c>
      <c r="F333" s="251">
        <v>1</v>
      </c>
      <c r="G333" s="303">
        <v>0</v>
      </c>
      <c r="H333" s="303">
        <v>2259.06</v>
      </c>
      <c r="I333" s="251"/>
      <c r="J333" s="272">
        <f t="shared" si="120"/>
        <v>2259.06</v>
      </c>
      <c r="K333" s="272">
        <f t="shared" si="121"/>
        <v>2259.06</v>
      </c>
      <c r="L333" s="273"/>
      <c r="M333" s="274">
        <f t="shared" si="122"/>
        <v>0</v>
      </c>
      <c r="N333" s="275"/>
      <c r="O333" s="276">
        <f t="shared" si="123"/>
        <v>0</v>
      </c>
      <c r="P333" s="273">
        <f t="shared" si="124"/>
        <v>0</v>
      </c>
      <c r="Q333" s="276">
        <f t="shared" si="125"/>
        <v>0</v>
      </c>
      <c r="R333" s="277">
        <f t="shared" si="126"/>
        <v>0</v>
      </c>
      <c r="S333" s="276">
        <f t="shared" si="127"/>
        <v>1</v>
      </c>
      <c r="T333" s="276">
        <f t="shared" si="128"/>
        <v>2259.06</v>
      </c>
      <c r="U333" s="276"/>
      <c r="V333" s="249">
        <v>0</v>
      </c>
      <c r="W333" s="278">
        <f t="shared" si="119"/>
        <v>0</v>
      </c>
      <c r="X333" s="279"/>
      <c r="Y333" s="249"/>
      <c r="Z333" s="265"/>
    </row>
    <row r="334" spans="2:26" ht="18" customHeight="1">
      <c r="B334" s="266">
        <f t="shared" si="118"/>
        <v>291</v>
      </c>
      <c r="C334" s="301" t="s">
        <v>509</v>
      </c>
      <c r="D334" s="251" t="s">
        <v>510</v>
      </c>
      <c r="E334" s="252" t="s">
        <v>175</v>
      </c>
      <c r="F334" s="251">
        <v>2</v>
      </c>
      <c r="G334" s="303">
        <v>0</v>
      </c>
      <c r="H334" s="303">
        <v>3897.23</v>
      </c>
      <c r="I334" s="251"/>
      <c r="J334" s="272">
        <f t="shared" si="120"/>
        <v>3897.23</v>
      </c>
      <c r="K334" s="272">
        <f t="shared" si="121"/>
        <v>7794.46</v>
      </c>
      <c r="L334" s="273"/>
      <c r="M334" s="274">
        <f t="shared" si="122"/>
        <v>0</v>
      </c>
      <c r="N334" s="275"/>
      <c r="O334" s="276">
        <f t="shared" si="123"/>
        <v>0</v>
      </c>
      <c r="P334" s="273">
        <f t="shared" si="124"/>
        <v>0</v>
      </c>
      <c r="Q334" s="276">
        <f t="shared" si="125"/>
        <v>0</v>
      </c>
      <c r="R334" s="277">
        <f t="shared" si="126"/>
        <v>0</v>
      </c>
      <c r="S334" s="276">
        <f t="shared" si="127"/>
        <v>2</v>
      </c>
      <c r="T334" s="276">
        <f t="shared" si="128"/>
        <v>7794.46</v>
      </c>
      <c r="U334" s="276"/>
      <c r="V334" s="249">
        <v>0</v>
      </c>
      <c r="W334" s="278">
        <f t="shared" si="119"/>
        <v>0</v>
      </c>
      <c r="X334" s="279"/>
      <c r="Y334" s="249"/>
      <c r="Z334" s="265"/>
    </row>
    <row r="335" spans="2:26" ht="18" customHeight="1">
      <c r="B335" s="266">
        <f t="shared" si="118"/>
        <v>292</v>
      </c>
      <c r="C335" s="301" t="s">
        <v>511</v>
      </c>
      <c r="D335" s="251" t="s">
        <v>512</v>
      </c>
      <c r="E335" s="252" t="s">
        <v>175</v>
      </c>
      <c r="F335" s="251">
        <v>2</v>
      </c>
      <c r="G335" s="303">
        <v>0</v>
      </c>
      <c r="H335" s="303">
        <v>15075.6</v>
      </c>
      <c r="I335" s="251"/>
      <c r="J335" s="272">
        <f t="shared" si="120"/>
        <v>15075.6</v>
      </c>
      <c r="K335" s="272">
        <f t="shared" si="121"/>
        <v>30151.200000000001</v>
      </c>
      <c r="L335" s="273"/>
      <c r="M335" s="274">
        <f t="shared" si="122"/>
        <v>0</v>
      </c>
      <c r="N335" s="275"/>
      <c r="O335" s="276">
        <f t="shared" si="123"/>
        <v>0</v>
      </c>
      <c r="P335" s="273">
        <f t="shared" si="124"/>
        <v>0</v>
      </c>
      <c r="Q335" s="276">
        <f t="shared" si="125"/>
        <v>0</v>
      </c>
      <c r="R335" s="277">
        <f t="shared" si="126"/>
        <v>0</v>
      </c>
      <c r="S335" s="276">
        <f t="shared" si="127"/>
        <v>2</v>
      </c>
      <c r="T335" s="276">
        <f t="shared" si="128"/>
        <v>30151.200000000001</v>
      </c>
      <c r="U335" s="276"/>
      <c r="V335" s="249">
        <v>0</v>
      </c>
      <c r="W335" s="278">
        <f t="shared" si="119"/>
        <v>0</v>
      </c>
      <c r="X335" s="279"/>
      <c r="Y335" s="249"/>
      <c r="Z335" s="265"/>
    </row>
    <row r="336" spans="2:26" ht="18" customHeight="1">
      <c r="B336" s="266">
        <f t="shared" si="118"/>
        <v>293</v>
      </c>
      <c r="C336" s="301" t="s">
        <v>513</v>
      </c>
      <c r="D336" s="251" t="s">
        <v>493</v>
      </c>
      <c r="E336" s="252" t="s">
        <v>166</v>
      </c>
      <c r="F336" s="251">
        <v>154</v>
      </c>
      <c r="G336" s="303">
        <v>0</v>
      </c>
      <c r="H336" s="303">
        <v>159.88</v>
      </c>
      <c r="I336" s="251"/>
      <c r="J336" s="272">
        <f t="shared" si="120"/>
        <v>159.88</v>
      </c>
      <c r="K336" s="272">
        <f t="shared" si="121"/>
        <v>24621.52</v>
      </c>
      <c r="L336" s="273"/>
      <c r="M336" s="274">
        <f t="shared" si="122"/>
        <v>0</v>
      </c>
      <c r="N336" s="275"/>
      <c r="O336" s="276">
        <f t="shared" si="123"/>
        <v>0</v>
      </c>
      <c r="P336" s="273">
        <f t="shared" si="124"/>
        <v>0</v>
      </c>
      <c r="Q336" s="276">
        <f t="shared" si="125"/>
        <v>0</v>
      </c>
      <c r="R336" s="277">
        <f t="shared" si="126"/>
        <v>0</v>
      </c>
      <c r="S336" s="276">
        <f t="shared" si="127"/>
        <v>154</v>
      </c>
      <c r="T336" s="276">
        <f t="shared" si="128"/>
        <v>24621.52</v>
      </c>
      <c r="U336" s="276"/>
      <c r="V336" s="249">
        <v>0</v>
      </c>
      <c r="W336" s="278">
        <f t="shared" si="119"/>
        <v>0</v>
      </c>
      <c r="X336" s="279"/>
      <c r="Y336" s="249"/>
      <c r="Z336" s="265"/>
    </row>
    <row r="337" spans="1:26" ht="18" customHeight="1">
      <c r="B337" s="266">
        <f t="shared" si="118"/>
        <v>294</v>
      </c>
      <c r="C337" s="301" t="s">
        <v>514</v>
      </c>
      <c r="D337" s="251" t="s">
        <v>515</v>
      </c>
      <c r="E337" s="252" t="s">
        <v>175</v>
      </c>
      <c r="F337" s="251">
        <v>2</v>
      </c>
      <c r="G337" s="303">
        <v>0</v>
      </c>
      <c r="H337" s="303">
        <v>6794.95</v>
      </c>
      <c r="I337" s="251"/>
      <c r="J337" s="272">
        <f t="shared" si="120"/>
        <v>6794.95</v>
      </c>
      <c r="K337" s="272">
        <f t="shared" si="121"/>
        <v>13589.9</v>
      </c>
      <c r="L337" s="273"/>
      <c r="M337" s="274">
        <f t="shared" si="122"/>
        <v>0</v>
      </c>
      <c r="N337" s="275"/>
      <c r="O337" s="276">
        <f t="shared" si="123"/>
        <v>0</v>
      </c>
      <c r="P337" s="273">
        <f t="shared" si="124"/>
        <v>0</v>
      </c>
      <c r="Q337" s="276">
        <f t="shared" si="125"/>
        <v>0</v>
      </c>
      <c r="R337" s="277">
        <f t="shared" si="126"/>
        <v>0</v>
      </c>
      <c r="S337" s="276">
        <f t="shared" si="127"/>
        <v>2</v>
      </c>
      <c r="T337" s="276">
        <f t="shared" si="128"/>
        <v>13589.9</v>
      </c>
      <c r="U337" s="276"/>
      <c r="V337" s="249">
        <v>0</v>
      </c>
      <c r="W337" s="278">
        <f t="shared" si="119"/>
        <v>0</v>
      </c>
      <c r="X337" s="279"/>
      <c r="Y337" s="249"/>
      <c r="Z337" s="265"/>
    </row>
    <row r="338" spans="1:26" ht="18" customHeight="1">
      <c r="B338" s="266">
        <f t="shared" si="118"/>
        <v>295</v>
      </c>
      <c r="C338" s="301"/>
      <c r="D338" s="251"/>
      <c r="E338" s="252"/>
      <c r="F338" s="251"/>
      <c r="G338" s="303"/>
      <c r="H338" s="303"/>
      <c r="I338" s="251"/>
      <c r="J338" s="272"/>
      <c r="K338" s="272"/>
      <c r="L338" s="273"/>
      <c r="M338" s="274"/>
      <c r="N338" s="275"/>
      <c r="O338" s="276"/>
      <c r="P338" s="273"/>
      <c r="Q338" s="276"/>
      <c r="R338" s="277"/>
      <c r="S338" s="276"/>
      <c r="T338" s="276"/>
      <c r="U338" s="276"/>
      <c r="V338" s="249">
        <v>0</v>
      </c>
      <c r="W338" s="278">
        <f t="shared" si="119"/>
        <v>0</v>
      </c>
      <c r="X338" s="279"/>
      <c r="Y338" s="249"/>
      <c r="Z338" s="265"/>
    </row>
    <row r="339" spans="1:26" s="304" customFormat="1" ht="18" customHeight="1">
      <c r="B339" s="281">
        <f t="shared" si="118"/>
        <v>296</v>
      </c>
      <c r="C339" s="305" t="s">
        <v>171</v>
      </c>
      <c r="D339" s="306"/>
      <c r="E339" s="307"/>
      <c r="F339" s="306"/>
      <c r="G339" s="308"/>
      <c r="H339" s="308"/>
      <c r="I339" s="306"/>
      <c r="J339" s="287"/>
      <c r="K339" s="309">
        <f>SUM(K311:K338)</f>
        <v>300981.67000000004</v>
      </c>
      <c r="L339" s="288"/>
      <c r="M339" s="309">
        <f>SUM(M311:M338)</f>
        <v>0</v>
      </c>
      <c r="N339" s="288"/>
      <c r="O339" s="290">
        <f>SUM(O311:O338)</f>
        <v>0</v>
      </c>
      <c r="P339" s="288"/>
      <c r="Q339" s="309">
        <f>SUM(Q311:Q338)</f>
        <v>0</v>
      </c>
      <c r="R339" s="289">
        <f>IFERROR(+Q339/K339,0)</f>
        <v>0</v>
      </c>
      <c r="S339" s="290"/>
      <c r="T339" s="290">
        <f>SUM(T311:T338)</f>
        <v>300981.67000000004</v>
      </c>
      <c r="U339" s="290"/>
      <c r="V339" s="249">
        <v>63667.8</v>
      </c>
      <c r="W339" s="278">
        <f t="shared" si="119"/>
        <v>-63667.8</v>
      </c>
      <c r="X339" s="279"/>
      <c r="Y339" s="249"/>
      <c r="Z339" s="265"/>
    </row>
    <row r="340" spans="1:26" s="304" customFormat="1" ht="18" customHeight="1">
      <c r="B340" s="281">
        <f t="shared" si="118"/>
        <v>297</v>
      </c>
      <c r="C340" s="305" t="s">
        <v>516</v>
      </c>
      <c r="D340" s="306"/>
      <c r="E340" s="307"/>
      <c r="F340" s="306"/>
      <c r="G340" s="308"/>
      <c r="H340" s="308"/>
      <c r="I340" s="306"/>
      <c r="J340" s="287"/>
      <c r="K340" s="309">
        <f>K339+K309+K296+K288+K277+K264+K230+K195+K176</f>
        <v>571271.38110000012</v>
      </c>
      <c r="L340" s="288"/>
      <c r="M340" s="309">
        <f>M339+M309+M296+M288+M277+M264+M230+M195+M176</f>
        <v>0</v>
      </c>
      <c r="N340" s="288"/>
      <c r="O340" s="290">
        <f>O339+O309+O296+O288+O277+O264+O230+O195+O176</f>
        <v>17851.501600000003</v>
      </c>
      <c r="P340" s="288"/>
      <c r="Q340" s="309">
        <f>Q339+Q309+Q296+Q288+Q277+Q264+Q230+Q195+Q176</f>
        <v>17851.501600000003</v>
      </c>
      <c r="R340" s="289">
        <f>IFERROR(+Q340/K340,0)</f>
        <v>3.1248723795031363E-2</v>
      </c>
      <c r="S340" s="290"/>
      <c r="T340" s="290">
        <f>T339+T309+T296+T288+T277+T264+T230+T195+T176</f>
        <v>553419.87950000004</v>
      </c>
      <c r="U340" s="290"/>
      <c r="V340" s="249">
        <v>63667.8</v>
      </c>
      <c r="W340" s="278">
        <f t="shared" si="119"/>
        <v>-63667.8</v>
      </c>
      <c r="X340" s="279"/>
      <c r="Y340" s="249"/>
      <c r="Z340" s="265"/>
    </row>
    <row r="341" spans="1:26" s="217" customFormat="1" ht="18" customHeight="1">
      <c r="B341" s="260">
        <f t="shared" si="118"/>
        <v>298</v>
      </c>
      <c r="C341" s="312" t="s">
        <v>161</v>
      </c>
      <c r="D341" s="310"/>
      <c r="E341" s="293"/>
      <c r="F341" s="310"/>
      <c r="G341" s="311"/>
      <c r="H341" s="311"/>
      <c r="I341" s="310"/>
      <c r="J341" s="295"/>
      <c r="K341" s="295"/>
      <c r="L341" s="299"/>
      <c r="M341" s="296"/>
      <c r="N341" s="297"/>
      <c r="O341" s="298"/>
      <c r="P341" s="299"/>
      <c r="Q341" s="298"/>
      <c r="R341" s="300"/>
      <c r="S341" s="298"/>
      <c r="T341" s="298"/>
      <c r="U341" s="298"/>
      <c r="V341" s="249"/>
      <c r="W341" s="278">
        <f t="shared" si="119"/>
        <v>0</v>
      </c>
      <c r="X341" s="279"/>
      <c r="Y341" s="249"/>
      <c r="Z341" s="265"/>
    </row>
    <row r="342" spans="1:26" s="217" customFormat="1" ht="18" customHeight="1">
      <c r="B342" s="260">
        <f t="shared" si="118"/>
        <v>299</v>
      </c>
      <c r="C342" s="291" t="s">
        <v>517</v>
      </c>
      <c r="D342" s="310"/>
      <c r="E342" s="293"/>
      <c r="F342" s="310"/>
      <c r="G342" s="311"/>
      <c r="H342" s="311"/>
      <c r="I342" s="310"/>
      <c r="J342" s="295"/>
      <c r="K342" s="295"/>
      <c r="L342" s="299"/>
      <c r="M342" s="296"/>
      <c r="N342" s="297"/>
      <c r="O342" s="298"/>
      <c r="P342" s="299"/>
      <c r="Q342" s="298"/>
      <c r="R342" s="300"/>
      <c r="S342" s="298"/>
      <c r="T342" s="298"/>
      <c r="U342" s="298"/>
      <c r="V342" s="249"/>
      <c r="W342" s="278">
        <f t="shared" si="119"/>
        <v>0</v>
      </c>
      <c r="X342" s="279"/>
      <c r="Y342" s="249"/>
      <c r="Z342" s="265"/>
    </row>
    <row r="343" spans="1:26" ht="18" customHeight="1">
      <c r="A343" s="313" t="str">
        <f t="shared" ref="A343:A354" si="129">+C343&amp;LEFT(D343,10)&amp;E343</f>
        <v>Distribution Panel (Kitchen-Main)3P4W 208-1SET</v>
      </c>
      <c r="B343" s="266">
        <f t="shared" si="118"/>
        <v>300</v>
      </c>
      <c r="C343" s="301" t="s">
        <v>518</v>
      </c>
      <c r="D343" s="251" t="s">
        <v>519</v>
      </c>
      <c r="E343" s="252" t="s">
        <v>234</v>
      </c>
      <c r="F343" s="251">
        <v>2</v>
      </c>
      <c r="G343" s="303">
        <v>4517.2</v>
      </c>
      <c r="H343" s="303">
        <v>3052.88</v>
      </c>
      <c r="I343" s="251"/>
      <c r="J343" s="272">
        <f t="shared" ref="J343:J374" si="130">I343+H343+G343</f>
        <v>7570.08</v>
      </c>
      <c r="K343" s="272">
        <f t="shared" ref="K343:K374" si="131">J343*F343</f>
        <v>15140.16</v>
      </c>
      <c r="L343" s="273"/>
      <c r="M343" s="274">
        <f t="shared" ref="M343:M374" si="132">L343*J343</f>
        <v>0</v>
      </c>
      <c r="N343" s="275">
        <v>1.6</v>
      </c>
      <c r="O343" s="276">
        <f t="shared" ref="O343:O374" si="133">N343*J343</f>
        <v>12112.128000000001</v>
      </c>
      <c r="P343" s="273">
        <f t="shared" ref="P343:P374" si="134">N343+L343</f>
        <v>1.6</v>
      </c>
      <c r="Q343" s="276">
        <f t="shared" ref="Q343:Q374" si="135">P343*J343</f>
        <v>12112.128000000001</v>
      </c>
      <c r="R343" s="277">
        <f t="shared" ref="R343:R374" si="136">IFERROR(Q343/K343,0)</f>
        <v>0.8</v>
      </c>
      <c r="S343" s="276">
        <f t="shared" ref="S343:S374" si="137">F343-P343</f>
        <v>0.39999999999999991</v>
      </c>
      <c r="T343" s="276">
        <f t="shared" ref="T343:T374" si="138">K343-Q343</f>
        <v>3028.0319999999992</v>
      </c>
      <c r="U343" s="276"/>
      <c r="V343" s="249"/>
      <c r="W343" s="278"/>
      <c r="X343" s="279"/>
      <c r="Y343" s="249"/>
      <c r="Z343" s="265"/>
    </row>
    <row r="344" spans="1:26" ht="18" customHeight="1">
      <c r="A344" s="313" t="str">
        <f t="shared" si="129"/>
        <v>Distribution Panel (Kitchen-01-1,2)3P 480V 40SET</v>
      </c>
      <c r="B344" s="266">
        <f t="shared" si="118"/>
        <v>301</v>
      </c>
      <c r="C344" s="314" t="s">
        <v>520</v>
      </c>
      <c r="D344" s="315" t="s">
        <v>521</v>
      </c>
      <c r="E344" s="316" t="s">
        <v>234</v>
      </c>
      <c r="F344" s="315">
        <v>2</v>
      </c>
      <c r="G344" s="317">
        <v>4141.6899999999996</v>
      </c>
      <c r="H344" s="317">
        <v>2822.79</v>
      </c>
      <c r="I344" s="315"/>
      <c r="J344" s="272">
        <f t="shared" si="130"/>
        <v>6964.48</v>
      </c>
      <c r="K344" s="318">
        <f t="shared" si="131"/>
        <v>13928.96</v>
      </c>
      <c r="L344" s="273"/>
      <c r="M344" s="274">
        <f t="shared" si="132"/>
        <v>0</v>
      </c>
      <c r="N344" s="275">
        <v>1.6</v>
      </c>
      <c r="O344" s="276">
        <f t="shared" si="133"/>
        <v>11143.168</v>
      </c>
      <c r="P344" s="273">
        <f t="shared" si="134"/>
        <v>1.6</v>
      </c>
      <c r="Q344" s="276">
        <f t="shared" si="135"/>
        <v>11143.168</v>
      </c>
      <c r="R344" s="277">
        <f t="shared" si="136"/>
        <v>0.8</v>
      </c>
      <c r="S344" s="214">
        <f t="shared" si="137"/>
        <v>0.39999999999999991</v>
      </c>
      <c r="T344" s="276">
        <f t="shared" si="138"/>
        <v>2785.7919999999995</v>
      </c>
      <c r="U344" s="276"/>
      <c r="V344" s="249"/>
      <c r="W344" s="278"/>
      <c r="X344" s="279"/>
      <c r="Y344" s="249"/>
      <c r="Z344" s="265"/>
    </row>
    <row r="345" spans="1:26" ht="18" customHeight="1">
      <c r="A345" s="313" t="str">
        <f t="shared" si="129"/>
        <v>Distribution Panel (Kitchen-02-1)3P4W 480-2SET</v>
      </c>
      <c r="B345" s="266">
        <f t="shared" si="118"/>
        <v>302</v>
      </c>
      <c r="C345" s="314" t="s">
        <v>522</v>
      </c>
      <c r="D345" s="251" t="s">
        <v>523</v>
      </c>
      <c r="E345" s="252" t="s">
        <v>234</v>
      </c>
      <c r="F345" s="251">
        <v>1</v>
      </c>
      <c r="G345" s="303">
        <v>2253.08</v>
      </c>
      <c r="H345" s="303">
        <v>2008.53</v>
      </c>
      <c r="I345" s="251"/>
      <c r="J345" s="272">
        <f t="shared" si="130"/>
        <v>4261.6099999999997</v>
      </c>
      <c r="K345" s="272">
        <f t="shared" si="131"/>
        <v>4261.6099999999997</v>
      </c>
      <c r="L345" s="273"/>
      <c r="M345" s="274">
        <f t="shared" si="132"/>
        <v>0</v>
      </c>
      <c r="N345" s="275">
        <v>0.8</v>
      </c>
      <c r="O345" s="276">
        <f t="shared" si="133"/>
        <v>3409.288</v>
      </c>
      <c r="P345" s="273">
        <f t="shared" si="134"/>
        <v>0.8</v>
      </c>
      <c r="Q345" s="276">
        <f t="shared" si="135"/>
        <v>3409.288</v>
      </c>
      <c r="R345" s="277">
        <f t="shared" si="136"/>
        <v>0.8</v>
      </c>
      <c r="S345" s="276">
        <f t="shared" si="137"/>
        <v>0.19999999999999996</v>
      </c>
      <c r="T345" s="276">
        <f t="shared" si="138"/>
        <v>852.32199999999966</v>
      </c>
      <c r="U345" s="276"/>
      <c r="V345" s="249"/>
      <c r="W345" s="278"/>
      <c r="X345" s="279"/>
      <c r="Y345" s="249"/>
      <c r="Z345" s="265"/>
    </row>
    <row r="346" spans="1:26" ht="18" customHeight="1">
      <c r="A346" s="313" t="str">
        <f t="shared" si="129"/>
        <v>Distribution Panel (Kitchen-02-2)3P4W 208-1SET</v>
      </c>
      <c r="B346" s="266">
        <f t="shared" si="118"/>
        <v>303</v>
      </c>
      <c r="C346" s="301" t="s">
        <v>524</v>
      </c>
      <c r="D346" s="251" t="s">
        <v>525</v>
      </c>
      <c r="E346" s="252" t="s">
        <v>234</v>
      </c>
      <c r="F346" s="251">
        <v>1</v>
      </c>
      <c r="G346" s="303">
        <v>2038.51</v>
      </c>
      <c r="H346" s="303">
        <v>2008.53</v>
      </c>
      <c r="I346" s="251"/>
      <c r="J346" s="272">
        <f t="shared" si="130"/>
        <v>4047.04</v>
      </c>
      <c r="K346" s="272">
        <f t="shared" si="131"/>
        <v>4047.04</v>
      </c>
      <c r="L346" s="273"/>
      <c r="M346" s="274">
        <f t="shared" si="132"/>
        <v>0</v>
      </c>
      <c r="N346" s="275">
        <v>0.8</v>
      </c>
      <c r="O346" s="276">
        <f t="shared" si="133"/>
        <v>3237.6320000000001</v>
      </c>
      <c r="P346" s="273">
        <f t="shared" si="134"/>
        <v>0.8</v>
      </c>
      <c r="Q346" s="276">
        <f t="shared" si="135"/>
        <v>3237.6320000000001</v>
      </c>
      <c r="R346" s="277">
        <f t="shared" si="136"/>
        <v>0.8</v>
      </c>
      <c r="S346" s="276">
        <f t="shared" si="137"/>
        <v>0.19999999999999996</v>
      </c>
      <c r="T346" s="276">
        <f t="shared" si="138"/>
        <v>809.4079999999999</v>
      </c>
      <c r="U346" s="276"/>
      <c r="V346" s="249"/>
      <c r="W346" s="278"/>
      <c r="X346" s="279"/>
      <c r="Y346" s="249"/>
      <c r="Z346" s="313"/>
    </row>
    <row r="347" spans="1:26" ht="18" customHeight="1">
      <c r="A347" s="313" t="str">
        <f t="shared" si="129"/>
        <v>Dry Transformer (Kitchen-01-2(DTR))480/208V-1EA</v>
      </c>
      <c r="B347" s="266">
        <f t="shared" si="118"/>
        <v>304</v>
      </c>
      <c r="C347" s="301" t="s">
        <v>526</v>
      </c>
      <c r="D347" s="251" t="s">
        <v>527</v>
      </c>
      <c r="E347" s="252" t="s">
        <v>175</v>
      </c>
      <c r="F347" s="251">
        <v>2</v>
      </c>
      <c r="G347" s="303">
        <v>4086</v>
      </c>
      <c r="H347" s="303">
        <v>2822.79</v>
      </c>
      <c r="I347" s="251"/>
      <c r="J347" s="272">
        <f t="shared" si="130"/>
        <v>6908.79</v>
      </c>
      <c r="K347" s="272">
        <f t="shared" si="131"/>
        <v>13817.58</v>
      </c>
      <c r="L347" s="273"/>
      <c r="M347" s="274">
        <f t="shared" si="132"/>
        <v>0</v>
      </c>
      <c r="N347" s="275"/>
      <c r="O347" s="276">
        <f t="shared" si="133"/>
        <v>0</v>
      </c>
      <c r="P347" s="273">
        <f t="shared" si="134"/>
        <v>0</v>
      </c>
      <c r="Q347" s="276">
        <f t="shared" si="135"/>
        <v>0</v>
      </c>
      <c r="R347" s="277">
        <f t="shared" si="136"/>
        <v>0</v>
      </c>
      <c r="S347" s="276">
        <f t="shared" si="137"/>
        <v>2</v>
      </c>
      <c r="T347" s="276">
        <f t="shared" si="138"/>
        <v>13817.58</v>
      </c>
      <c r="U347" s="276"/>
      <c r="V347" s="249"/>
      <c r="W347" s="278"/>
      <c r="X347" s="279"/>
      <c r="Y347" s="249"/>
      <c r="Z347" s="313"/>
    </row>
    <row r="348" spans="1:26" ht="18" customHeight="1">
      <c r="A348" s="313" t="str">
        <f t="shared" si="129"/>
        <v>PANEL SUPPORTUnistrut /SET</v>
      </c>
      <c r="B348" s="266">
        <f t="shared" si="118"/>
        <v>305</v>
      </c>
      <c r="C348" s="301" t="s">
        <v>528</v>
      </c>
      <c r="D348" s="251" t="s">
        <v>529</v>
      </c>
      <c r="E348" s="252" t="s">
        <v>234</v>
      </c>
      <c r="F348" s="251">
        <v>6</v>
      </c>
      <c r="G348" s="303">
        <v>150.19</v>
      </c>
      <c r="H348" s="303">
        <v>447.89</v>
      </c>
      <c r="I348" s="251"/>
      <c r="J348" s="272">
        <f t="shared" si="130"/>
        <v>598.07999999999993</v>
      </c>
      <c r="K348" s="272">
        <f t="shared" si="131"/>
        <v>3588.4799999999996</v>
      </c>
      <c r="L348" s="273"/>
      <c r="M348" s="274">
        <f t="shared" si="132"/>
        <v>0</v>
      </c>
      <c r="N348" s="275"/>
      <c r="O348" s="276">
        <f t="shared" si="133"/>
        <v>0</v>
      </c>
      <c r="P348" s="273">
        <f t="shared" si="134"/>
        <v>0</v>
      </c>
      <c r="Q348" s="276">
        <f t="shared" si="135"/>
        <v>0</v>
      </c>
      <c r="R348" s="277">
        <f t="shared" si="136"/>
        <v>0</v>
      </c>
      <c r="S348" s="276">
        <f t="shared" si="137"/>
        <v>6</v>
      </c>
      <c r="T348" s="276">
        <f t="shared" si="138"/>
        <v>3588.4799999999996</v>
      </c>
      <c r="U348" s="276"/>
      <c r="V348" s="249"/>
      <c r="W348" s="278"/>
      <c r="X348" s="279"/>
      <c r="Y348" s="249"/>
      <c r="Z348" s="265"/>
    </row>
    <row r="349" spans="1:26" ht="18" customHeight="1">
      <c r="A349" s="313" t="str">
        <f t="shared" si="129"/>
        <v>ALUMINUM CABLE TRAY (LADDER TYPE)12"Width, LF</v>
      </c>
      <c r="B349" s="266">
        <f t="shared" si="118"/>
        <v>306</v>
      </c>
      <c r="C349" s="301" t="s">
        <v>530</v>
      </c>
      <c r="D349" s="251" t="s">
        <v>531</v>
      </c>
      <c r="E349" s="252" t="s">
        <v>166</v>
      </c>
      <c r="F349" s="251">
        <v>160</v>
      </c>
      <c r="G349" s="303">
        <v>9.66</v>
      </c>
      <c r="H349" s="303">
        <v>18.34</v>
      </c>
      <c r="I349" s="251"/>
      <c r="J349" s="272">
        <f t="shared" si="130"/>
        <v>28</v>
      </c>
      <c r="K349" s="272">
        <f t="shared" si="131"/>
        <v>4480</v>
      </c>
      <c r="L349" s="273"/>
      <c r="M349" s="274">
        <f t="shared" si="132"/>
        <v>0</v>
      </c>
      <c r="N349" s="275">
        <v>48</v>
      </c>
      <c r="O349" s="276">
        <f t="shared" si="133"/>
        <v>1344</v>
      </c>
      <c r="P349" s="273">
        <f t="shared" si="134"/>
        <v>48</v>
      </c>
      <c r="Q349" s="276">
        <f t="shared" si="135"/>
        <v>1344</v>
      </c>
      <c r="R349" s="277">
        <f t="shared" si="136"/>
        <v>0.3</v>
      </c>
      <c r="S349" s="276">
        <f t="shared" si="137"/>
        <v>112</v>
      </c>
      <c r="T349" s="276">
        <f t="shared" si="138"/>
        <v>3136</v>
      </c>
      <c r="U349" s="276"/>
      <c r="V349" s="249"/>
      <c r="W349" s="278"/>
      <c r="X349" s="279"/>
      <c r="Y349" s="249"/>
      <c r="Z349" s="265"/>
    </row>
    <row r="350" spans="1:26" ht="18" customHeight="1">
      <c r="A350" s="313" t="str">
        <f t="shared" si="129"/>
        <v>ALUMINUM CABLE TRAY (LADDER TYPE)24"Width, LF</v>
      </c>
      <c r="B350" s="266">
        <f t="shared" si="118"/>
        <v>307</v>
      </c>
      <c r="C350" s="301" t="s">
        <v>530</v>
      </c>
      <c r="D350" s="251" t="s">
        <v>532</v>
      </c>
      <c r="E350" s="252" t="s">
        <v>166</v>
      </c>
      <c r="F350" s="251">
        <v>230</v>
      </c>
      <c r="G350" s="303">
        <v>13.94</v>
      </c>
      <c r="H350" s="303">
        <v>21.22</v>
      </c>
      <c r="I350" s="251"/>
      <c r="J350" s="272">
        <f t="shared" si="130"/>
        <v>35.159999999999997</v>
      </c>
      <c r="K350" s="272">
        <f t="shared" si="131"/>
        <v>8086.7999999999993</v>
      </c>
      <c r="L350" s="273"/>
      <c r="M350" s="274">
        <f t="shared" si="132"/>
        <v>0</v>
      </c>
      <c r="N350" s="275">
        <v>69</v>
      </c>
      <c r="O350" s="276">
        <f t="shared" si="133"/>
        <v>2426.04</v>
      </c>
      <c r="P350" s="273">
        <f t="shared" si="134"/>
        <v>69</v>
      </c>
      <c r="Q350" s="276">
        <f t="shared" si="135"/>
        <v>2426.04</v>
      </c>
      <c r="R350" s="277">
        <f t="shared" si="136"/>
        <v>0.30000000000000004</v>
      </c>
      <c r="S350" s="276">
        <f t="shared" si="137"/>
        <v>161</v>
      </c>
      <c r="T350" s="276">
        <f t="shared" si="138"/>
        <v>5660.7599999999993</v>
      </c>
      <c r="U350" s="276"/>
      <c r="V350" s="249"/>
      <c r="W350" s="278"/>
      <c r="X350" s="279"/>
      <c r="Y350" s="249"/>
      <c r="Z350" s="313"/>
    </row>
    <row r="351" spans="1:26" ht="18" customHeight="1">
      <c r="A351" s="313" t="str">
        <f t="shared" si="129"/>
        <v>ALUMINUM CABLE TRAY (LADDER TYPE)36"Width, LF</v>
      </c>
      <c r="B351" s="266">
        <f t="shared" si="118"/>
        <v>308</v>
      </c>
      <c r="C351" s="301" t="s">
        <v>530</v>
      </c>
      <c r="D351" s="251" t="s">
        <v>533</v>
      </c>
      <c r="E351" s="252" t="s">
        <v>166</v>
      </c>
      <c r="F351" s="251">
        <v>108</v>
      </c>
      <c r="G351" s="303">
        <v>18.23</v>
      </c>
      <c r="H351" s="303">
        <v>24.1</v>
      </c>
      <c r="I351" s="251"/>
      <c r="J351" s="272">
        <f t="shared" si="130"/>
        <v>42.33</v>
      </c>
      <c r="K351" s="272">
        <f t="shared" si="131"/>
        <v>4571.6399999999994</v>
      </c>
      <c r="L351" s="273"/>
      <c r="M351" s="274">
        <f t="shared" si="132"/>
        <v>0</v>
      </c>
      <c r="N351" s="275">
        <v>32.4</v>
      </c>
      <c r="O351" s="276">
        <f t="shared" si="133"/>
        <v>1371.492</v>
      </c>
      <c r="P351" s="273">
        <f t="shared" si="134"/>
        <v>32.4</v>
      </c>
      <c r="Q351" s="276">
        <f t="shared" si="135"/>
        <v>1371.492</v>
      </c>
      <c r="R351" s="277">
        <f t="shared" si="136"/>
        <v>0.30000000000000004</v>
      </c>
      <c r="S351" s="276">
        <f t="shared" si="137"/>
        <v>75.599999999999994</v>
      </c>
      <c r="T351" s="276">
        <f t="shared" si="138"/>
        <v>3200.1479999999992</v>
      </c>
      <c r="U351" s="276"/>
      <c r="V351" s="249">
        <v>7786.2</v>
      </c>
      <c r="W351" s="278">
        <f>M351-V351</f>
        <v>-7786.2</v>
      </c>
      <c r="X351" s="279"/>
      <c r="Y351" s="249"/>
      <c r="Z351" s="313"/>
    </row>
    <row r="352" spans="1:26" ht="18" customHeight="1">
      <c r="A352" s="313" t="str">
        <f t="shared" si="129"/>
        <v>ALUMINUM HORIZONTAL ELBOW (LADDER TYPE)24"Width, EA</v>
      </c>
      <c r="B352" s="266">
        <f t="shared" si="118"/>
        <v>309</v>
      </c>
      <c r="C352" s="301" t="s">
        <v>534</v>
      </c>
      <c r="D352" s="251" t="s">
        <v>532</v>
      </c>
      <c r="E352" s="252" t="s">
        <v>175</v>
      </c>
      <c r="F352" s="251">
        <v>1</v>
      </c>
      <c r="G352" s="303">
        <v>171.66</v>
      </c>
      <c r="H352" s="303">
        <v>155</v>
      </c>
      <c r="I352" s="251"/>
      <c r="J352" s="272">
        <f t="shared" si="130"/>
        <v>326.65999999999997</v>
      </c>
      <c r="K352" s="272">
        <f t="shared" si="131"/>
        <v>326.65999999999997</v>
      </c>
      <c r="L352" s="273"/>
      <c r="M352" s="274">
        <f t="shared" si="132"/>
        <v>0</v>
      </c>
      <c r="N352" s="275">
        <v>0.3</v>
      </c>
      <c r="O352" s="276">
        <f t="shared" si="133"/>
        <v>97.99799999999999</v>
      </c>
      <c r="P352" s="273">
        <f t="shared" si="134"/>
        <v>0.3</v>
      </c>
      <c r="Q352" s="276">
        <f t="shared" si="135"/>
        <v>97.99799999999999</v>
      </c>
      <c r="R352" s="277">
        <f t="shared" si="136"/>
        <v>0.3</v>
      </c>
      <c r="S352" s="276">
        <f t="shared" si="137"/>
        <v>0.7</v>
      </c>
      <c r="T352" s="276">
        <f t="shared" si="138"/>
        <v>228.66199999999998</v>
      </c>
      <c r="U352" s="276"/>
      <c r="V352" s="249"/>
      <c r="W352" s="278"/>
      <c r="X352" s="279"/>
      <c r="Y352" s="249"/>
      <c r="Z352" s="265"/>
    </row>
    <row r="353" spans="1:26" ht="18" customHeight="1">
      <c r="A353" s="313" t="str">
        <f t="shared" si="129"/>
        <v>ALUMINUM HORIZONTAL ELBOW (LADDER TYPE)36"Width, EA</v>
      </c>
      <c r="B353" s="266">
        <f t="shared" si="118"/>
        <v>310</v>
      </c>
      <c r="C353" s="314" t="s">
        <v>534</v>
      </c>
      <c r="D353" s="315" t="s">
        <v>533</v>
      </c>
      <c r="E353" s="316" t="s">
        <v>175</v>
      </c>
      <c r="F353" s="315">
        <v>1</v>
      </c>
      <c r="G353" s="317">
        <v>225.29</v>
      </c>
      <c r="H353" s="317">
        <v>178.02</v>
      </c>
      <c r="I353" s="315"/>
      <c r="J353" s="272">
        <f t="shared" si="130"/>
        <v>403.31</v>
      </c>
      <c r="K353" s="318">
        <f t="shared" si="131"/>
        <v>403.31</v>
      </c>
      <c r="L353" s="273"/>
      <c r="M353" s="274">
        <f t="shared" si="132"/>
        <v>0</v>
      </c>
      <c r="N353" s="275">
        <v>0.3</v>
      </c>
      <c r="O353" s="276">
        <f t="shared" si="133"/>
        <v>120.99299999999999</v>
      </c>
      <c r="P353" s="273">
        <f t="shared" si="134"/>
        <v>0.3</v>
      </c>
      <c r="Q353" s="276">
        <f t="shared" si="135"/>
        <v>120.99299999999999</v>
      </c>
      <c r="R353" s="319">
        <f t="shared" si="136"/>
        <v>0.3</v>
      </c>
      <c r="S353" s="214">
        <f t="shared" si="137"/>
        <v>0.7</v>
      </c>
      <c r="T353" s="214">
        <f t="shared" si="138"/>
        <v>282.31700000000001</v>
      </c>
      <c r="U353" s="276"/>
      <c r="V353" s="249">
        <v>13349.448</v>
      </c>
      <c r="W353" s="278">
        <f t="shared" ref="W353:W359" si="139">M353-V353</f>
        <v>-13349.448</v>
      </c>
      <c r="X353" s="279"/>
      <c r="Y353" s="249"/>
      <c r="Z353" s="313"/>
    </row>
    <row r="354" spans="1:26" ht="18" customHeight="1">
      <c r="A354" s="313" t="str">
        <f t="shared" si="129"/>
        <v>ALUMINUM VERTICAL ELBOW (LADDER TYPE)12"Width, EA</v>
      </c>
      <c r="B354" s="266">
        <f t="shared" si="118"/>
        <v>311</v>
      </c>
      <c r="C354" s="314" t="s">
        <v>535</v>
      </c>
      <c r="D354" s="251" t="s">
        <v>531</v>
      </c>
      <c r="E354" s="252" t="s">
        <v>175</v>
      </c>
      <c r="F354" s="251">
        <v>8</v>
      </c>
      <c r="G354" s="303">
        <v>83.69</v>
      </c>
      <c r="H354" s="303">
        <v>128.61000000000001</v>
      </c>
      <c r="I354" s="251"/>
      <c r="J354" s="272">
        <f t="shared" si="130"/>
        <v>212.3</v>
      </c>
      <c r="K354" s="272">
        <f t="shared" si="131"/>
        <v>1698.4</v>
      </c>
      <c r="L354" s="273"/>
      <c r="M354" s="274">
        <f t="shared" si="132"/>
        <v>0</v>
      </c>
      <c r="N354" s="275">
        <v>2.4</v>
      </c>
      <c r="O354" s="276">
        <f t="shared" si="133"/>
        <v>509.52</v>
      </c>
      <c r="P354" s="273">
        <f t="shared" si="134"/>
        <v>2.4</v>
      </c>
      <c r="Q354" s="276">
        <f t="shared" si="135"/>
        <v>509.52</v>
      </c>
      <c r="R354" s="277">
        <f t="shared" si="136"/>
        <v>0.3</v>
      </c>
      <c r="S354" s="276">
        <f t="shared" si="137"/>
        <v>5.6</v>
      </c>
      <c r="T354" s="276">
        <f t="shared" si="138"/>
        <v>1188.8800000000001</v>
      </c>
      <c r="U354" s="276"/>
      <c r="V354" s="249">
        <v>0</v>
      </c>
      <c r="W354" s="278">
        <f t="shared" si="139"/>
        <v>0</v>
      </c>
      <c r="X354" s="279"/>
      <c r="Y354" s="249"/>
      <c r="Z354" s="313"/>
    </row>
    <row r="355" spans="1:26" ht="18" customHeight="1">
      <c r="A355" s="320" t="str">
        <f t="shared" ref="A355:A369" si="140">+C355&amp;D355&amp;E355</f>
        <v>ALUMINUM VERTICAL ELBOW (LADDER TYPE)24"Width, 4"height, 9"rung spacingEA</v>
      </c>
      <c r="B355" s="266">
        <f t="shared" si="118"/>
        <v>312</v>
      </c>
      <c r="C355" s="301" t="s">
        <v>535</v>
      </c>
      <c r="D355" s="251" t="s">
        <v>532</v>
      </c>
      <c r="E355" s="252" t="s">
        <v>175</v>
      </c>
      <c r="F355" s="251">
        <v>6</v>
      </c>
      <c r="G355" s="303">
        <v>124.48</v>
      </c>
      <c r="H355" s="303">
        <v>155</v>
      </c>
      <c r="I355" s="251"/>
      <c r="J355" s="272">
        <f t="shared" si="130"/>
        <v>279.48</v>
      </c>
      <c r="K355" s="272">
        <f t="shared" si="131"/>
        <v>1676.88</v>
      </c>
      <c r="L355" s="273"/>
      <c r="M355" s="274">
        <f t="shared" si="132"/>
        <v>0</v>
      </c>
      <c r="N355" s="275">
        <v>1.8</v>
      </c>
      <c r="O355" s="276">
        <f t="shared" si="133"/>
        <v>503.06400000000002</v>
      </c>
      <c r="P355" s="273">
        <f t="shared" si="134"/>
        <v>1.8</v>
      </c>
      <c r="Q355" s="276">
        <f t="shared" si="135"/>
        <v>503.06400000000002</v>
      </c>
      <c r="R355" s="277">
        <f t="shared" si="136"/>
        <v>0.3</v>
      </c>
      <c r="S355" s="276">
        <f t="shared" si="137"/>
        <v>4.2</v>
      </c>
      <c r="T355" s="276">
        <f t="shared" si="138"/>
        <v>1173.816</v>
      </c>
      <c r="U355" s="276"/>
      <c r="V355" s="249">
        <v>0</v>
      </c>
      <c r="W355" s="278">
        <f t="shared" si="139"/>
        <v>0</v>
      </c>
      <c r="X355" s="279"/>
      <c r="Y355" s="249"/>
      <c r="Z355" s="265"/>
    </row>
    <row r="356" spans="1:26" ht="18" customHeight="1">
      <c r="A356" s="320" t="str">
        <f t="shared" si="140"/>
        <v>ALUMINUM VERTICAL ELBOW (LADDER TYPE)36"Width, 4"height, 9"rung spacingEA</v>
      </c>
      <c r="B356" s="266">
        <f t="shared" si="118"/>
        <v>313</v>
      </c>
      <c r="C356" s="301" t="s">
        <v>535</v>
      </c>
      <c r="D356" s="251" t="s">
        <v>533</v>
      </c>
      <c r="E356" s="252" t="s">
        <v>175</v>
      </c>
      <c r="F356" s="251">
        <v>4</v>
      </c>
      <c r="G356" s="303">
        <v>183.49</v>
      </c>
      <c r="H356" s="303">
        <v>178.02</v>
      </c>
      <c r="I356" s="251"/>
      <c r="J356" s="272">
        <f t="shared" si="130"/>
        <v>361.51</v>
      </c>
      <c r="K356" s="272">
        <f t="shared" si="131"/>
        <v>1446.04</v>
      </c>
      <c r="L356" s="273"/>
      <c r="M356" s="274">
        <f t="shared" si="132"/>
        <v>0</v>
      </c>
      <c r="N356" s="275">
        <v>1.2</v>
      </c>
      <c r="O356" s="276">
        <f t="shared" si="133"/>
        <v>433.81199999999995</v>
      </c>
      <c r="P356" s="273">
        <f t="shared" si="134"/>
        <v>1.2</v>
      </c>
      <c r="Q356" s="276">
        <f t="shared" si="135"/>
        <v>433.81199999999995</v>
      </c>
      <c r="R356" s="277">
        <f t="shared" si="136"/>
        <v>0.3</v>
      </c>
      <c r="S356" s="276">
        <f t="shared" si="137"/>
        <v>2.8</v>
      </c>
      <c r="T356" s="276">
        <f t="shared" si="138"/>
        <v>1012.2280000000001</v>
      </c>
      <c r="U356" s="276"/>
      <c r="V356" s="249">
        <v>0</v>
      </c>
      <c r="W356" s="278">
        <f t="shared" si="139"/>
        <v>0</v>
      </c>
      <c r="X356" s="279"/>
      <c r="Y356" s="249"/>
      <c r="Z356" s="265"/>
    </row>
    <row r="357" spans="1:26" ht="18" customHeight="1">
      <c r="A357" s="320" t="str">
        <f t="shared" si="140"/>
        <v>ALUMINUM TEE HORIZONTAL (LADDER TYPE)24"Width, 4"height, 9"rung spacingEA</v>
      </c>
      <c r="B357" s="266">
        <f t="shared" si="118"/>
        <v>314</v>
      </c>
      <c r="C357" s="301" t="s">
        <v>536</v>
      </c>
      <c r="D357" s="251" t="s">
        <v>532</v>
      </c>
      <c r="E357" s="252" t="s">
        <v>175</v>
      </c>
      <c r="F357" s="251">
        <v>1</v>
      </c>
      <c r="G357" s="303">
        <v>83.69</v>
      </c>
      <c r="H357" s="303">
        <v>128.61000000000001</v>
      </c>
      <c r="I357" s="251"/>
      <c r="J357" s="272">
        <f t="shared" si="130"/>
        <v>212.3</v>
      </c>
      <c r="K357" s="272">
        <f t="shared" si="131"/>
        <v>212.3</v>
      </c>
      <c r="L357" s="273"/>
      <c r="M357" s="274">
        <f t="shared" si="132"/>
        <v>0</v>
      </c>
      <c r="N357" s="275">
        <v>0.3</v>
      </c>
      <c r="O357" s="276">
        <f t="shared" si="133"/>
        <v>63.69</v>
      </c>
      <c r="P357" s="273">
        <f t="shared" si="134"/>
        <v>0.3</v>
      </c>
      <c r="Q357" s="276">
        <f t="shared" si="135"/>
        <v>63.69</v>
      </c>
      <c r="R357" s="277">
        <f t="shared" si="136"/>
        <v>0.3</v>
      </c>
      <c r="S357" s="276">
        <f t="shared" si="137"/>
        <v>0.7</v>
      </c>
      <c r="T357" s="276">
        <f t="shared" si="138"/>
        <v>148.61000000000001</v>
      </c>
      <c r="U357" s="276"/>
      <c r="V357" s="249">
        <v>0</v>
      </c>
      <c r="W357" s="278">
        <f t="shared" si="139"/>
        <v>0</v>
      </c>
      <c r="X357" s="279"/>
      <c r="Y357" s="249"/>
      <c r="Z357" s="265"/>
    </row>
    <row r="358" spans="1:26" ht="18" customHeight="1">
      <c r="A358" s="320" t="str">
        <f t="shared" si="140"/>
        <v>12" Cable tray support W/Accessories12" Width including beam clamp, square washer, unistrut, 2 rods, etcSET</v>
      </c>
      <c r="B358" s="266">
        <f t="shared" si="118"/>
        <v>315</v>
      </c>
      <c r="C358" s="301" t="s">
        <v>537</v>
      </c>
      <c r="D358" s="251" t="s">
        <v>538</v>
      </c>
      <c r="E358" s="252" t="s">
        <v>234</v>
      </c>
      <c r="F358" s="251">
        <v>24</v>
      </c>
      <c r="G358" s="303">
        <v>29.5</v>
      </c>
      <c r="H358" s="303">
        <v>83.81</v>
      </c>
      <c r="I358" s="251"/>
      <c r="J358" s="272">
        <f t="shared" si="130"/>
        <v>113.31</v>
      </c>
      <c r="K358" s="272">
        <f t="shared" si="131"/>
        <v>2719.44</v>
      </c>
      <c r="L358" s="273"/>
      <c r="M358" s="274">
        <f t="shared" si="132"/>
        <v>0</v>
      </c>
      <c r="N358" s="275">
        <v>7.2</v>
      </c>
      <c r="O358" s="276">
        <f t="shared" si="133"/>
        <v>815.83199999999999</v>
      </c>
      <c r="P358" s="273">
        <f t="shared" si="134"/>
        <v>7.2</v>
      </c>
      <c r="Q358" s="276">
        <f t="shared" si="135"/>
        <v>815.83199999999999</v>
      </c>
      <c r="R358" s="277">
        <f t="shared" si="136"/>
        <v>0.3</v>
      </c>
      <c r="S358" s="276">
        <f t="shared" si="137"/>
        <v>16.8</v>
      </c>
      <c r="T358" s="276">
        <f t="shared" si="138"/>
        <v>1903.6080000000002</v>
      </c>
      <c r="U358" s="276"/>
      <c r="V358" s="249">
        <v>0</v>
      </c>
      <c r="W358" s="278">
        <f t="shared" si="139"/>
        <v>0</v>
      </c>
      <c r="X358" s="279"/>
      <c r="Y358" s="249"/>
      <c r="Z358" s="265"/>
    </row>
    <row r="359" spans="1:26" ht="18" customHeight="1">
      <c r="A359" s="320" t="str">
        <f t="shared" si="140"/>
        <v>24" Cable tray support W/Accessories24" Width including beam clamp, square washer, unistrut, 2 rods, etcSET</v>
      </c>
      <c r="B359" s="266">
        <f t="shared" si="118"/>
        <v>316</v>
      </c>
      <c r="C359" s="301" t="s">
        <v>539</v>
      </c>
      <c r="D359" s="251" t="s">
        <v>540</v>
      </c>
      <c r="E359" s="252" t="s">
        <v>234</v>
      </c>
      <c r="F359" s="251">
        <v>21</v>
      </c>
      <c r="G359" s="303">
        <v>40.229999999999997</v>
      </c>
      <c r="H359" s="303">
        <v>96.46</v>
      </c>
      <c r="I359" s="251"/>
      <c r="J359" s="272">
        <f t="shared" si="130"/>
        <v>136.69</v>
      </c>
      <c r="K359" s="272">
        <f t="shared" si="131"/>
        <v>2870.49</v>
      </c>
      <c r="L359" s="273"/>
      <c r="M359" s="274">
        <f t="shared" si="132"/>
        <v>0</v>
      </c>
      <c r="N359" s="275">
        <v>6.3</v>
      </c>
      <c r="O359" s="276">
        <f t="shared" si="133"/>
        <v>861.14699999999993</v>
      </c>
      <c r="P359" s="273">
        <f t="shared" si="134"/>
        <v>6.3</v>
      </c>
      <c r="Q359" s="276">
        <f t="shared" si="135"/>
        <v>861.14699999999993</v>
      </c>
      <c r="R359" s="277">
        <f t="shared" si="136"/>
        <v>0.3</v>
      </c>
      <c r="S359" s="276">
        <f t="shared" si="137"/>
        <v>14.7</v>
      </c>
      <c r="T359" s="276">
        <f t="shared" si="138"/>
        <v>2009.3429999999998</v>
      </c>
      <c r="U359" s="276"/>
      <c r="V359" s="249">
        <v>0</v>
      </c>
      <c r="W359" s="278">
        <f t="shared" si="139"/>
        <v>0</v>
      </c>
      <c r="X359" s="279"/>
      <c r="Y359" s="249"/>
      <c r="Z359" s="265"/>
    </row>
    <row r="360" spans="1:26" ht="18" customHeight="1">
      <c r="A360" s="320" t="str">
        <f t="shared" si="140"/>
        <v>36" Cable tray support W/Accessories36" Width including beam clamp, square washer, unistrut, 2 rods, etcSET</v>
      </c>
      <c r="B360" s="266">
        <f t="shared" si="118"/>
        <v>317</v>
      </c>
      <c r="C360" s="301" t="s">
        <v>541</v>
      </c>
      <c r="D360" s="251" t="s">
        <v>542</v>
      </c>
      <c r="E360" s="252" t="s">
        <v>234</v>
      </c>
      <c r="F360" s="251">
        <v>15</v>
      </c>
      <c r="G360" s="303">
        <v>50.96</v>
      </c>
      <c r="H360" s="303">
        <v>109.1</v>
      </c>
      <c r="I360" s="251"/>
      <c r="J360" s="272">
        <f t="shared" si="130"/>
        <v>160.06</v>
      </c>
      <c r="K360" s="272">
        <f t="shared" si="131"/>
        <v>2400.9</v>
      </c>
      <c r="L360" s="273"/>
      <c r="M360" s="274">
        <f t="shared" si="132"/>
        <v>0</v>
      </c>
      <c r="N360" s="275">
        <v>4.5</v>
      </c>
      <c r="O360" s="276">
        <f t="shared" si="133"/>
        <v>720.27</v>
      </c>
      <c r="P360" s="273">
        <f t="shared" si="134"/>
        <v>4.5</v>
      </c>
      <c r="Q360" s="276">
        <f t="shared" si="135"/>
        <v>720.27</v>
      </c>
      <c r="R360" s="277">
        <f t="shared" si="136"/>
        <v>0.3</v>
      </c>
      <c r="S360" s="276">
        <f t="shared" si="137"/>
        <v>10.5</v>
      </c>
      <c r="T360" s="276">
        <f t="shared" si="138"/>
        <v>1680.63</v>
      </c>
      <c r="U360" s="276"/>
      <c r="V360" s="249"/>
      <c r="W360" s="278"/>
      <c r="X360" s="279"/>
      <c r="Y360" s="249"/>
      <c r="Z360" s="265"/>
    </row>
    <row r="361" spans="1:26" ht="18" customHeight="1">
      <c r="A361" s="320" t="str">
        <f t="shared" si="140"/>
        <v>CABLE TRAY BOX CONNECTOR12", Bolt, Nut, ETCSET</v>
      </c>
      <c r="B361" s="266">
        <f t="shared" si="118"/>
        <v>318</v>
      </c>
      <c r="C361" s="301" t="s">
        <v>543</v>
      </c>
      <c r="D361" s="251" t="s">
        <v>544</v>
      </c>
      <c r="E361" s="252" t="s">
        <v>234</v>
      </c>
      <c r="F361" s="251">
        <v>2</v>
      </c>
      <c r="G361" s="303">
        <v>13.41</v>
      </c>
      <c r="H361" s="303">
        <v>32.15</v>
      </c>
      <c r="I361" s="251"/>
      <c r="J361" s="272">
        <f t="shared" si="130"/>
        <v>45.56</v>
      </c>
      <c r="K361" s="272">
        <f t="shared" si="131"/>
        <v>91.12</v>
      </c>
      <c r="L361" s="273"/>
      <c r="M361" s="274">
        <f t="shared" si="132"/>
        <v>0</v>
      </c>
      <c r="N361" s="275">
        <v>0.6</v>
      </c>
      <c r="O361" s="276">
        <f t="shared" si="133"/>
        <v>27.336000000000002</v>
      </c>
      <c r="P361" s="273">
        <f t="shared" si="134"/>
        <v>0.6</v>
      </c>
      <c r="Q361" s="276">
        <f t="shared" si="135"/>
        <v>27.336000000000002</v>
      </c>
      <c r="R361" s="277">
        <f t="shared" si="136"/>
        <v>0.3</v>
      </c>
      <c r="S361" s="276">
        <f t="shared" si="137"/>
        <v>1.4</v>
      </c>
      <c r="T361" s="276">
        <f t="shared" si="138"/>
        <v>63.784000000000006</v>
      </c>
      <c r="U361" s="276"/>
      <c r="V361" s="249"/>
      <c r="W361" s="278"/>
      <c r="X361" s="279"/>
      <c r="Y361" s="249"/>
      <c r="Z361" s="265"/>
    </row>
    <row r="362" spans="1:26" ht="18" customHeight="1">
      <c r="A362" s="320" t="str">
        <f t="shared" si="140"/>
        <v>CABLE TRAY BOX CONNECTOR24", Bolt, Nut, ETCSET</v>
      </c>
      <c r="B362" s="266">
        <f t="shared" si="118"/>
        <v>319</v>
      </c>
      <c r="C362" s="301" t="s">
        <v>543</v>
      </c>
      <c r="D362" s="251" t="s">
        <v>545</v>
      </c>
      <c r="E362" s="252" t="s">
        <v>234</v>
      </c>
      <c r="F362" s="251">
        <v>23</v>
      </c>
      <c r="G362" s="303">
        <v>18.77</v>
      </c>
      <c r="H362" s="303">
        <v>39.03</v>
      </c>
      <c r="I362" s="251"/>
      <c r="J362" s="272">
        <f t="shared" si="130"/>
        <v>57.8</v>
      </c>
      <c r="K362" s="272">
        <f t="shared" si="131"/>
        <v>1329.3999999999999</v>
      </c>
      <c r="L362" s="273"/>
      <c r="M362" s="274">
        <f t="shared" si="132"/>
        <v>0</v>
      </c>
      <c r="N362" s="275">
        <v>6.9</v>
      </c>
      <c r="O362" s="276">
        <f t="shared" si="133"/>
        <v>398.82</v>
      </c>
      <c r="P362" s="273">
        <f t="shared" si="134"/>
        <v>6.9</v>
      </c>
      <c r="Q362" s="276">
        <f t="shared" si="135"/>
        <v>398.82</v>
      </c>
      <c r="R362" s="277">
        <f t="shared" si="136"/>
        <v>0.30000000000000004</v>
      </c>
      <c r="S362" s="276">
        <f t="shared" si="137"/>
        <v>16.100000000000001</v>
      </c>
      <c r="T362" s="276">
        <f t="shared" si="138"/>
        <v>930.57999999999993</v>
      </c>
      <c r="U362" s="276"/>
      <c r="V362" s="249"/>
      <c r="W362" s="278"/>
      <c r="X362" s="279"/>
      <c r="Y362" s="249"/>
      <c r="Z362" s="265"/>
    </row>
    <row r="363" spans="1:26" ht="18" customHeight="1">
      <c r="A363" s="320" t="str">
        <f t="shared" si="140"/>
        <v>CABLE TRAY BOX CONNECTOR36", Bolt, Nut, ETCSET</v>
      </c>
      <c r="B363" s="266">
        <f t="shared" si="118"/>
        <v>320</v>
      </c>
      <c r="C363" s="301" t="s">
        <v>543</v>
      </c>
      <c r="D363" s="251" t="s">
        <v>546</v>
      </c>
      <c r="E363" s="252" t="s">
        <v>234</v>
      </c>
      <c r="F363" s="251">
        <v>2</v>
      </c>
      <c r="G363" s="303">
        <v>24.13</v>
      </c>
      <c r="H363" s="303">
        <v>45.92</v>
      </c>
      <c r="I363" s="251"/>
      <c r="J363" s="272">
        <f t="shared" si="130"/>
        <v>70.05</v>
      </c>
      <c r="K363" s="272">
        <f t="shared" si="131"/>
        <v>140.1</v>
      </c>
      <c r="L363" s="273"/>
      <c r="M363" s="274">
        <f t="shared" si="132"/>
        <v>0</v>
      </c>
      <c r="N363" s="275">
        <v>0.6</v>
      </c>
      <c r="O363" s="276">
        <f t="shared" si="133"/>
        <v>42.029999999999994</v>
      </c>
      <c r="P363" s="273">
        <f t="shared" si="134"/>
        <v>0.6</v>
      </c>
      <c r="Q363" s="276">
        <f t="shared" si="135"/>
        <v>42.029999999999994</v>
      </c>
      <c r="R363" s="277">
        <f t="shared" si="136"/>
        <v>0.3</v>
      </c>
      <c r="S363" s="276">
        <f t="shared" si="137"/>
        <v>1.4</v>
      </c>
      <c r="T363" s="276">
        <f t="shared" si="138"/>
        <v>98.07</v>
      </c>
      <c r="U363" s="276"/>
      <c r="V363" s="249"/>
      <c r="W363" s="278"/>
      <c r="X363" s="279"/>
      <c r="Y363" s="249"/>
      <c r="Z363" s="265"/>
    </row>
    <row r="364" spans="1:26" ht="18" customHeight="1">
      <c r="A364" s="320" t="str">
        <f t="shared" si="140"/>
        <v>BONDING JUMPER12"EA</v>
      </c>
      <c r="B364" s="266">
        <f t="shared" ref="B364:B427" si="141">B363+1</f>
        <v>321</v>
      </c>
      <c r="C364" s="301" t="s">
        <v>547</v>
      </c>
      <c r="D364" s="251" t="s">
        <v>548</v>
      </c>
      <c r="E364" s="252" t="s">
        <v>175</v>
      </c>
      <c r="F364" s="251">
        <v>63</v>
      </c>
      <c r="G364" s="303">
        <v>6.43</v>
      </c>
      <c r="H364" s="303">
        <v>22.96</v>
      </c>
      <c r="I364" s="251"/>
      <c r="J364" s="272">
        <f t="shared" si="130"/>
        <v>29.39</v>
      </c>
      <c r="K364" s="272">
        <f t="shared" si="131"/>
        <v>1851.57</v>
      </c>
      <c r="L364" s="273"/>
      <c r="M364" s="274">
        <f t="shared" si="132"/>
        <v>0</v>
      </c>
      <c r="N364" s="275"/>
      <c r="O364" s="276">
        <f t="shared" si="133"/>
        <v>0</v>
      </c>
      <c r="P364" s="273">
        <f t="shared" si="134"/>
        <v>0</v>
      </c>
      <c r="Q364" s="276">
        <f t="shared" si="135"/>
        <v>0</v>
      </c>
      <c r="R364" s="277">
        <f t="shared" si="136"/>
        <v>0</v>
      </c>
      <c r="S364" s="276">
        <f t="shared" si="137"/>
        <v>63</v>
      </c>
      <c r="T364" s="276">
        <f t="shared" si="138"/>
        <v>1851.57</v>
      </c>
      <c r="U364" s="276"/>
      <c r="V364" s="249"/>
      <c r="W364" s="278"/>
      <c r="X364" s="279"/>
      <c r="Y364" s="249"/>
      <c r="Z364" s="265"/>
    </row>
    <row r="365" spans="1:26" ht="18" customHeight="1">
      <c r="A365" s="320" t="str">
        <f t="shared" si="140"/>
        <v>ELECTRICAL METALLIC TUBING (EMT)3" SET SCREWLF</v>
      </c>
      <c r="B365" s="266">
        <f t="shared" si="141"/>
        <v>322</v>
      </c>
      <c r="C365" s="301" t="s">
        <v>549</v>
      </c>
      <c r="D365" s="251" t="s">
        <v>550</v>
      </c>
      <c r="E365" s="252" t="s">
        <v>166</v>
      </c>
      <c r="F365" s="251">
        <v>130</v>
      </c>
      <c r="G365" s="303">
        <v>5.08</v>
      </c>
      <c r="H365" s="303">
        <v>14.3</v>
      </c>
      <c r="I365" s="251"/>
      <c r="J365" s="272">
        <f t="shared" si="130"/>
        <v>19.380000000000003</v>
      </c>
      <c r="K365" s="272">
        <f t="shared" si="131"/>
        <v>2519.4000000000005</v>
      </c>
      <c r="L365" s="273"/>
      <c r="M365" s="274">
        <f t="shared" si="132"/>
        <v>0</v>
      </c>
      <c r="N365" s="275"/>
      <c r="O365" s="276">
        <f t="shared" si="133"/>
        <v>0</v>
      </c>
      <c r="P365" s="273">
        <f t="shared" si="134"/>
        <v>0</v>
      </c>
      <c r="Q365" s="276">
        <f t="shared" si="135"/>
        <v>0</v>
      </c>
      <c r="R365" s="277">
        <f t="shared" si="136"/>
        <v>0</v>
      </c>
      <c r="S365" s="276">
        <f t="shared" si="137"/>
        <v>130</v>
      </c>
      <c r="T365" s="276">
        <f t="shared" si="138"/>
        <v>2519.4000000000005</v>
      </c>
      <c r="U365" s="276"/>
      <c r="V365" s="249"/>
      <c r="W365" s="278"/>
      <c r="X365" s="279"/>
      <c r="Y365" s="249"/>
      <c r="Z365" s="265"/>
    </row>
    <row r="366" spans="1:26" ht="18" customHeight="1">
      <c r="A366" s="320" t="str">
        <f t="shared" si="140"/>
        <v>ELECTRICAL METALLIC TUBING (EMT)2" SET SCREWLF</v>
      </c>
      <c r="B366" s="266">
        <f t="shared" si="141"/>
        <v>323</v>
      </c>
      <c r="C366" s="301" t="s">
        <v>549</v>
      </c>
      <c r="D366" s="251" t="s">
        <v>551</v>
      </c>
      <c r="E366" s="252" t="s">
        <v>166</v>
      </c>
      <c r="F366" s="251">
        <v>400</v>
      </c>
      <c r="G366" s="303">
        <v>2.78</v>
      </c>
      <c r="H366" s="303">
        <v>10.28</v>
      </c>
      <c r="I366" s="251"/>
      <c r="J366" s="272">
        <f t="shared" si="130"/>
        <v>13.059999999999999</v>
      </c>
      <c r="K366" s="272">
        <f t="shared" si="131"/>
        <v>5223.9999999999991</v>
      </c>
      <c r="L366" s="273"/>
      <c r="M366" s="274">
        <f t="shared" si="132"/>
        <v>0</v>
      </c>
      <c r="N366" s="275"/>
      <c r="O366" s="276">
        <f t="shared" si="133"/>
        <v>0</v>
      </c>
      <c r="P366" s="273">
        <f t="shared" si="134"/>
        <v>0</v>
      </c>
      <c r="Q366" s="276">
        <f t="shared" si="135"/>
        <v>0</v>
      </c>
      <c r="R366" s="277">
        <f t="shared" si="136"/>
        <v>0</v>
      </c>
      <c r="S366" s="276">
        <f t="shared" si="137"/>
        <v>400</v>
      </c>
      <c r="T366" s="276">
        <f t="shared" si="138"/>
        <v>5223.9999999999991</v>
      </c>
      <c r="U366" s="276"/>
      <c r="V366" s="249"/>
      <c r="W366" s="278"/>
      <c r="X366" s="279"/>
      <c r="Y366" s="249"/>
      <c r="Z366" s="265"/>
    </row>
    <row r="367" spans="1:26" ht="18" customHeight="1">
      <c r="A367" s="320" t="str">
        <f t="shared" si="140"/>
        <v>ELECTRICAL METALLIC TUBING (EMT)1-1/2" SET SCREWLF</v>
      </c>
      <c r="B367" s="266">
        <f t="shared" si="141"/>
        <v>324</v>
      </c>
      <c r="C367" s="301" t="s">
        <v>549</v>
      </c>
      <c r="D367" s="251" t="s">
        <v>552</v>
      </c>
      <c r="E367" s="252" t="s">
        <v>166</v>
      </c>
      <c r="F367" s="251">
        <v>160</v>
      </c>
      <c r="G367" s="303">
        <v>2.0299999999999998</v>
      </c>
      <c r="H367" s="303">
        <v>9.0500000000000007</v>
      </c>
      <c r="I367" s="251"/>
      <c r="J367" s="272">
        <f t="shared" si="130"/>
        <v>11.08</v>
      </c>
      <c r="K367" s="272">
        <f t="shared" si="131"/>
        <v>1772.8</v>
      </c>
      <c r="L367" s="273"/>
      <c r="M367" s="274">
        <f t="shared" si="132"/>
        <v>0</v>
      </c>
      <c r="N367" s="275"/>
      <c r="O367" s="276">
        <f t="shared" si="133"/>
        <v>0</v>
      </c>
      <c r="P367" s="273">
        <f t="shared" si="134"/>
        <v>0</v>
      </c>
      <c r="Q367" s="276">
        <f t="shared" si="135"/>
        <v>0</v>
      </c>
      <c r="R367" s="277">
        <f t="shared" si="136"/>
        <v>0</v>
      </c>
      <c r="S367" s="276">
        <f t="shared" si="137"/>
        <v>160</v>
      </c>
      <c r="T367" s="276">
        <f t="shared" si="138"/>
        <v>1772.8</v>
      </c>
      <c r="U367" s="276"/>
      <c r="V367" s="249"/>
      <c r="W367" s="278"/>
      <c r="X367" s="279"/>
      <c r="Y367" s="249"/>
      <c r="Z367" s="265"/>
    </row>
    <row r="368" spans="1:26" ht="18" customHeight="1">
      <c r="A368" s="320" t="str">
        <f t="shared" si="140"/>
        <v>ELECTRICAL METALLIC TUBING (EMT)1" SET SCREWLF</v>
      </c>
      <c r="B368" s="266">
        <f t="shared" si="141"/>
        <v>325</v>
      </c>
      <c r="C368" s="301" t="s">
        <v>549</v>
      </c>
      <c r="D368" s="251" t="s">
        <v>553</v>
      </c>
      <c r="E368" s="252" t="s">
        <v>166</v>
      </c>
      <c r="F368" s="251">
        <v>100</v>
      </c>
      <c r="G368" s="303">
        <v>1.17</v>
      </c>
      <c r="H368" s="303">
        <v>7.1</v>
      </c>
      <c r="I368" s="251"/>
      <c r="J368" s="272">
        <f t="shared" si="130"/>
        <v>8.27</v>
      </c>
      <c r="K368" s="272">
        <f t="shared" si="131"/>
        <v>827</v>
      </c>
      <c r="L368" s="273"/>
      <c r="M368" s="274">
        <f t="shared" si="132"/>
        <v>0</v>
      </c>
      <c r="N368" s="275"/>
      <c r="O368" s="276">
        <f t="shared" si="133"/>
        <v>0</v>
      </c>
      <c r="P368" s="273">
        <f t="shared" si="134"/>
        <v>0</v>
      </c>
      <c r="Q368" s="276">
        <f t="shared" si="135"/>
        <v>0</v>
      </c>
      <c r="R368" s="277">
        <f t="shared" si="136"/>
        <v>0</v>
      </c>
      <c r="S368" s="276">
        <f t="shared" si="137"/>
        <v>100</v>
      </c>
      <c r="T368" s="276">
        <f t="shared" si="138"/>
        <v>827</v>
      </c>
      <c r="U368" s="276"/>
      <c r="V368" s="249"/>
      <c r="W368" s="278"/>
      <c r="X368" s="279"/>
      <c r="Y368" s="249"/>
      <c r="Z368" s="265"/>
    </row>
    <row r="369" spans="1:26" ht="18" customHeight="1">
      <c r="A369" s="320" t="str">
        <f t="shared" si="140"/>
        <v>CONDUIT SUPPORT SYSTEM3"SET</v>
      </c>
      <c r="B369" s="266">
        <f t="shared" si="141"/>
        <v>326</v>
      </c>
      <c r="C369" s="301" t="s">
        <v>554</v>
      </c>
      <c r="D369" s="251" t="s">
        <v>443</v>
      </c>
      <c r="E369" s="252" t="s">
        <v>234</v>
      </c>
      <c r="F369" s="251">
        <v>26</v>
      </c>
      <c r="G369" s="303">
        <v>15</v>
      </c>
      <c r="H369" s="303">
        <v>41.33</v>
      </c>
      <c r="I369" s="251"/>
      <c r="J369" s="272">
        <f t="shared" si="130"/>
        <v>56.33</v>
      </c>
      <c r="K369" s="272">
        <f t="shared" si="131"/>
        <v>1464.58</v>
      </c>
      <c r="L369" s="273"/>
      <c r="M369" s="274">
        <f t="shared" si="132"/>
        <v>0</v>
      </c>
      <c r="N369" s="275"/>
      <c r="O369" s="276">
        <f t="shared" si="133"/>
        <v>0</v>
      </c>
      <c r="P369" s="273">
        <f t="shared" si="134"/>
        <v>0</v>
      </c>
      <c r="Q369" s="276">
        <f t="shared" si="135"/>
        <v>0</v>
      </c>
      <c r="R369" s="277">
        <f t="shared" si="136"/>
        <v>0</v>
      </c>
      <c r="S369" s="276">
        <f t="shared" si="137"/>
        <v>26</v>
      </c>
      <c r="T369" s="276">
        <f t="shared" si="138"/>
        <v>1464.58</v>
      </c>
      <c r="U369" s="276"/>
      <c r="V369" s="249"/>
      <c r="W369" s="278"/>
      <c r="X369" s="279"/>
      <c r="Y369" s="249"/>
      <c r="Z369" s="265"/>
    </row>
    <row r="370" spans="1:26" ht="18" customHeight="1">
      <c r="A370" s="313" t="str">
        <f t="shared" ref="A370:A381" si="142">+C370&amp;LEFT(D370,10)&amp;E370</f>
        <v>CONDUIT SUPPORT SYSTEM2"SET</v>
      </c>
      <c r="B370" s="266">
        <f t="shared" si="141"/>
        <v>327</v>
      </c>
      <c r="C370" s="301" t="s">
        <v>554</v>
      </c>
      <c r="D370" s="251" t="s">
        <v>415</v>
      </c>
      <c r="E370" s="252" t="s">
        <v>234</v>
      </c>
      <c r="F370" s="251">
        <v>80</v>
      </c>
      <c r="G370" s="303">
        <v>9.66</v>
      </c>
      <c r="H370" s="303">
        <v>33.299999999999997</v>
      </c>
      <c r="I370" s="251"/>
      <c r="J370" s="272">
        <f t="shared" si="130"/>
        <v>42.959999999999994</v>
      </c>
      <c r="K370" s="272">
        <f t="shared" si="131"/>
        <v>3436.7999999999993</v>
      </c>
      <c r="L370" s="273"/>
      <c r="M370" s="274">
        <f t="shared" si="132"/>
        <v>0</v>
      </c>
      <c r="N370" s="275"/>
      <c r="O370" s="276">
        <f t="shared" si="133"/>
        <v>0</v>
      </c>
      <c r="P370" s="273">
        <f t="shared" si="134"/>
        <v>0</v>
      </c>
      <c r="Q370" s="276">
        <f t="shared" si="135"/>
        <v>0</v>
      </c>
      <c r="R370" s="277">
        <f t="shared" si="136"/>
        <v>0</v>
      </c>
      <c r="S370" s="276">
        <f t="shared" si="137"/>
        <v>80</v>
      </c>
      <c r="T370" s="276">
        <f t="shared" si="138"/>
        <v>3436.7999999999993</v>
      </c>
      <c r="U370" s="276"/>
      <c r="V370" s="249"/>
      <c r="W370" s="278"/>
      <c r="X370" s="279"/>
      <c r="Y370" s="249"/>
      <c r="Z370" s="265"/>
    </row>
    <row r="371" spans="1:26" ht="18" customHeight="1">
      <c r="A371" s="313" t="str">
        <f t="shared" si="142"/>
        <v>CONDUIT SUPPORT SYSTEM1-1/2"SET</v>
      </c>
      <c r="B371" s="266">
        <f t="shared" si="141"/>
        <v>328</v>
      </c>
      <c r="C371" s="314" t="s">
        <v>554</v>
      </c>
      <c r="D371" s="315" t="s">
        <v>555</v>
      </c>
      <c r="E371" s="316" t="s">
        <v>234</v>
      </c>
      <c r="F371" s="315">
        <v>32</v>
      </c>
      <c r="G371" s="317">
        <v>8.0399999999999991</v>
      </c>
      <c r="H371" s="317">
        <v>30.99</v>
      </c>
      <c r="I371" s="315"/>
      <c r="J371" s="272">
        <f t="shared" si="130"/>
        <v>39.03</v>
      </c>
      <c r="K371" s="318">
        <f t="shared" si="131"/>
        <v>1248.96</v>
      </c>
      <c r="L371" s="273"/>
      <c r="M371" s="274">
        <f t="shared" si="132"/>
        <v>0</v>
      </c>
      <c r="N371" s="275"/>
      <c r="O371" s="276">
        <f t="shared" si="133"/>
        <v>0</v>
      </c>
      <c r="P371" s="273">
        <f t="shared" si="134"/>
        <v>0</v>
      </c>
      <c r="Q371" s="276">
        <f t="shared" si="135"/>
        <v>0</v>
      </c>
      <c r="R371" s="277">
        <f t="shared" si="136"/>
        <v>0</v>
      </c>
      <c r="S371" s="214">
        <f t="shared" si="137"/>
        <v>32</v>
      </c>
      <c r="T371" s="276">
        <f t="shared" si="138"/>
        <v>1248.96</v>
      </c>
      <c r="U371" s="276"/>
      <c r="V371" s="249"/>
      <c r="W371" s="278"/>
      <c r="X371" s="279"/>
      <c r="Y371" s="249"/>
      <c r="Z371" s="265"/>
    </row>
    <row r="372" spans="1:26" ht="18" customHeight="1">
      <c r="A372" s="313" t="str">
        <f t="shared" si="142"/>
        <v>CONDUIT SUPPORT SYSTEM1"SET</v>
      </c>
      <c r="B372" s="266">
        <f t="shared" si="141"/>
        <v>329</v>
      </c>
      <c r="C372" s="314" t="s">
        <v>554</v>
      </c>
      <c r="D372" s="251" t="s">
        <v>413</v>
      </c>
      <c r="E372" s="252" t="s">
        <v>234</v>
      </c>
      <c r="F372" s="251">
        <v>20</v>
      </c>
      <c r="G372" s="303">
        <v>6.43</v>
      </c>
      <c r="H372" s="303">
        <v>28.14</v>
      </c>
      <c r="I372" s="251"/>
      <c r="J372" s="272">
        <f t="shared" si="130"/>
        <v>34.57</v>
      </c>
      <c r="K372" s="272">
        <f t="shared" si="131"/>
        <v>691.4</v>
      </c>
      <c r="L372" s="273"/>
      <c r="M372" s="274">
        <f t="shared" si="132"/>
        <v>0</v>
      </c>
      <c r="N372" s="275"/>
      <c r="O372" s="276">
        <f t="shared" si="133"/>
        <v>0</v>
      </c>
      <c r="P372" s="273">
        <f t="shared" si="134"/>
        <v>0</v>
      </c>
      <c r="Q372" s="276">
        <f t="shared" si="135"/>
        <v>0</v>
      </c>
      <c r="R372" s="277">
        <f t="shared" si="136"/>
        <v>0</v>
      </c>
      <c r="S372" s="276">
        <f t="shared" si="137"/>
        <v>20</v>
      </c>
      <c r="T372" s="276">
        <f t="shared" si="138"/>
        <v>691.4</v>
      </c>
      <c r="U372" s="276"/>
      <c r="V372" s="249"/>
      <c r="W372" s="278"/>
      <c r="X372" s="279"/>
      <c r="Y372" s="249"/>
      <c r="Z372" s="265"/>
    </row>
    <row r="373" spans="1:26" ht="18" customHeight="1">
      <c r="A373" s="313" t="str">
        <f t="shared" si="142"/>
        <v>Liquidtight Flexible Metal Conduit3"LF</v>
      </c>
      <c r="B373" s="266">
        <f t="shared" si="141"/>
        <v>330</v>
      </c>
      <c r="C373" s="301" t="s">
        <v>556</v>
      </c>
      <c r="D373" s="251" t="s">
        <v>443</v>
      </c>
      <c r="E373" s="252" t="s">
        <v>166</v>
      </c>
      <c r="F373" s="251">
        <v>20</v>
      </c>
      <c r="G373" s="303">
        <v>7.5</v>
      </c>
      <c r="H373" s="303">
        <v>11.7</v>
      </c>
      <c r="I373" s="251"/>
      <c r="J373" s="272">
        <f t="shared" si="130"/>
        <v>19.2</v>
      </c>
      <c r="K373" s="272">
        <f t="shared" si="131"/>
        <v>384</v>
      </c>
      <c r="L373" s="273"/>
      <c r="M373" s="274">
        <f t="shared" si="132"/>
        <v>0</v>
      </c>
      <c r="N373" s="275"/>
      <c r="O373" s="276">
        <f t="shared" si="133"/>
        <v>0</v>
      </c>
      <c r="P373" s="273">
        <f t="shared" si="134"/>
        <v>0</v>
      </c>
      <c r="Q373" s="276">
        <f t="shared" si="135"/>
        <v>0</v>
      </c>
      <c r="R373" s="277">
        <f t="shared" si="136"/>
        <v>0</v>
      </c>
      <c r="S373" s="276">
        <f t="shared" si="137"/>
        <v>20</v>
      </c>
      <c r="T373" s="276">
        <f t="shared" si="138"/>
        <v>384</v>
      </c>
      <c r="U373" s="276"/>
      <c r="V373" s="249"/>
      <c r="W373" s="278"/>
      <c r="X373" s="279"/>
      <c r="Y373" s="249"/>
      <c r="Z373" s="313"/>
    </row>
    <row r="374" spans="1:26" ht="18" customHeight="1">
      <c r="A374" s="313" t="str">
        <f t="shared" si="142"/>
        <v>Liquidtight Flexible Metal Conduit2"LF</v>
      </c>
      <c r="B374" s="266">
        <f t="shared" si="141"/>
        <v>331</v>
      </c>
      <c r="C374" s="301" t="s">
        <v>556</v>
      </c>
      <c r="D374" s="251" t="s">
        <v>415</v>
      </c>
      <c r="E374" s="252" t="s">
        <v>166</v>
      </c>
      <c r="F374" s="251">
        <v>50</v>
      </c>
      <c r="G374" s="303">
        <v>4.28</v>
      </c>
      <c r="H374" s="303">
        <v>9.15</v>
      </c>
      <c r="I374" s="251"/>
      <c r="J374" s="272">
        <f t="shared" si="130"/>
        <v>13.43</v>
      </c>
      <c r="K374" s="272">
        <f t="shared" si="131"/>
        <v>671.5</v>
      </c>
      <c r="L374" s="273"/>
      <c r="M374" s="274">
        <f t="shared" si="132"/>
        <v>0</v>
      </c>
      <c r="N374" s="275"/>
      <c r="O374" s="276">
        <f t="shared" si="133"/>
        <v>0</v>
      </c>
      <c r="P374" s="273">
        <f t="shared" si="134"/>
        <v>0</v>
      </c>
      <c r="Q374" s="276">
        <f t="shared" si="135"/>
        <v>0</v>
      </c>
      <c r="R374" s="277">
        <f t="shared" si="136"/>
        <v>0</v>
      </c>
      <c r="S374" s="276">
        <f t="shared" si="137"/>
        <v>50</v>
      </c>
      <c r="T374" s="276">
        <f t="shared" si="138"/>
        <v>671.5</v>
      </c>
      <c r="U374" s="276"/>
      <c r="V374" s="249"/>
      <c r="W374" s="278"/>
      <c r="X374" s="279"/>
      <c r="Y374" s="249"/>
      <c r="Z374" s="313"/>
    </row>
    <row r="375" spans="1:26" ht="18" customHeight="1">
      <c r="A375" s="313" t="str">
        <f t="shared" si="142"/>
        <v>Liquidtight Flexible Metal Conduit1-1/2"LF</v>
      </c>
      <c r="B375" s="266">
        <f t="shared" si="141"/>
        <v>332</v>
      </c>
      <c r="C375" s="301" t="s">
        <v>556</v>
      </c>
      <c r="D375" s="251" t="s">
        <v>555</v>
      </c>
      <c r="E375" s="252" t="s">
        <v>166</v>
      </c>
      <c r="F375" s="251">
        <v>20</v>
      </c>
      <c r="G375" s="303">
        <v>3.48</v>
      </c>
      <c r="H375" s="303">
        <v>8.32</v>
      </c>
      <c r="I375" s="251"/>
      <c r="J375" s="272">
        <f t="shared" ref="J375:J406" si="143">I375+H375+G375</f>
        <v>11.8</v>
      </c>
      <c r="K375" s="272">
        <f t="shared" ref="K375:K406" si="144">J375*F375</f>
        <v>236</v>
      </c>
      <c r="L375" s="273"/>
      <c r="M375" s="274">
        <f t="shared" ref="M375:M406" si="145">L375*J375</f>
        <v>0</v>
      </c>
      <c r="N375" s="275"/>
      <c r="O375" s="276">
        <f t="shared" ref="O375:O406" si="146">N375*J375</f>
        <v>0</v>
      </c>
      <c r="P375" s="273">
        <f t="shared" ref="P375:P409" si="147">N375+L375</f>
        <v>0</v>
      </c>
      <c r="Q375" s="276">
        <f t="shared" ref="Q375:Q406" si="148">P375*J375</f>
        <v>0</v>
      </c>
      <c r="R375" s="277">
        <f t="shared" ref="R375:R406" si="149">IFERROR(Q375/K375,0)</f>
        <v>0</v>
      </c>
      <c r="S375" s="276">
        <f t="shared" ref="S375:S409" si="150">F375-P375</f>
        <v>20</v>
      </c>
      <c r="T375" s="276">
        <f t="shared" ref="T375:T409" si="151">K375-Q375</f>
        <v>236</v>
      </c>
      <c r="U375" s="276"/>
      <c r="V375" s="249"/>
      <c r="W375" s="278"/>
      <c r="X375" s="279"/>
      <c r="Y375" s="249"/>
      <c r="Z375" s="265"/>
    </row>
    <row r="376" spans="1:26" ht="18" customHeight="1">
      <c r="A376" s="313" t="str">
        <f t="shared" si="142"/>
        <v>Liquidtight Flexible Metal Conduit1"LF</v>
      </c>
      <c r="B376" s="266">
        <f t="shared" si="141"/>
        <v>333</v>
      </c>
      <c r="C376" s="301" t="s">
        <v>556</v>
      </c>
      <c r="D376" s="251" t="s">
        <v>413</v>
      </c>
      <c r="E376" s="252" t="s">
        <v>166</v>
      </c>
      <c r="F376" s="251">
        <v>10</v>
      </c>
      <c r="G376" s="303">
        <v>2.2400000000000002</v>
      </c>
      <c r="H376" s="303">
        <v>7.1</v>
      </c>
      <c r="I376" s="251"/>
      <c r="J376" s="272">
        <f t="shared" si="143"/>
        <v>9.34</v>
      </c>
      <c r="K376" s="272">
        <f t="shared" si="144"/>
        <v>93.4</v>
      </c>
      <c r="L376" s="273"/>
      <c r="M376" s="274">
        <f t="shared" si="145"/>
        <v>0</v>
      </c>
      <c r="N376" s="275"/>
      <c r="O376" s="276">
        <f t="shared" si="146"/>
        <v>0</v>
      </c>
      <c r="P376" s="273">
        <f t="shared" si="147"/>
        <v>0</v>
      </c>
      <c r="Q376" s="276">
        <f t="shared" si="148"/>
        <v>0</v>
      </c>
      <c r="R376" s="277">
        <f t="shared" si="149"/>
        <v>0</v>
      </c>
      <c r="S376" s="276">
        <f t="shared" si="150"/>
        <v>10</v>
      </c>
      <c r="T376" s="276">
        <f t="shared" si="151"/>
        <v>93.4</v>
      </c>
      <c r="U376" s="276"/>
      <c r="V376" s="249"/>
      <c r="W376" s="278"/>
      <c r="X376" s="279"/>
      <c r="Y376" s="249"/>
      <c r="Z376" s="265"/>
    </row>
    <row r="377" spans="1:26" ht="18" customHeight="1">
      <c r="A377" s="313" t="str">
        <f t="shared" si="142"/>
        <v>Liquidtight Flexible Metal Conduit Connector3"EA</v>
      </c>
      <c r="B377" s="266">
        <f t="shared" si="141"/>
        <v>334</v>
      </c>
      <c r="C377" s="301" t="s">
        <v>557</v>
      </c>
      <c r="D377" s="251" t="s">
        <v>443</v>
      </c>
      <c r="E377" s="252" t="s">
        <v>175</v>
      </c>
      <c r="F377" s="251">
        <v>2</v>
      </c>
      <c r="G377" s="303">
        <v>20.37</v>
      </c>
      <c r="H377" s="303">
        <v>22.96</v>
      </c>
      <c r="I377" s="251"/>
      <c r="J377" s="272">
        <f t="shared" si="143"/>
        <v>43.33</v>
      </c>
      <c r="K377" s="272">
        <f t="shared" si="144"/>
        <v>86.66</v>
      </c>
      <c r="L377" s="273"/>
      <c r="M377" s="274">
        <f t="shared" si="145"/>
        <v>0</v>
      </c>
      <c r="N377" s="275"/>
      <c r="O377" s="276">
        <f t="shared" si="146"/>
        <v>0</v>
      </c>
      <c r="P377" s="273">
        <f t="shared" si="147"/>
        <v>0</v>
      </c>
      <c r="Q377" s="276">
        <f t="shared" si="148"/>
        <v>0</v>
      </c>
      <c r="R377" s="277">
        <f t="shared" si="149"/>
        <v>0</v>
      </c>
      <c r="S377" s="276">
        <f t="shared" si="150"/>
        <v>2</v>
      </c>
      <c r="T377" s="276">
        <f t="shared" si="151"/>
        <v>86.66</v>
      </c>
      <c r="U377" s="276"/>
      <c r="V377" s="249"/>
      <c r="W377" s="278"/>
      <c r="X377" s="279"/>
      <c r="Y377" s="249"/>
      <c r="Z377" s="313"/>
    </row>
    <row r="378" spans="1:26" ht="18" customHeight="1">
      <c r="A378" s="313" t="str">
        <f t="shared" si="142"/>
        <v>Liquidtight Flexible Metal Conduit Connector2"EA</v>
      </c>
      <c r="B378" s="266">
        <f t="shared" si="141"/>
        <v>335</v>
      </c>
      <c r="C378" s="301" t="s">
        <v>557</v>
      </c>
      <c r="D378" s="251" t="s">
        <v>415</v>
      </c>
      <c r="E378" s="252" t="s">
        <v>175</v>
      </c>
      <c r="F378" s="251">
        <v>5</v>
      </c>
      <c r="G378" s="303">
        <v>11.79</v>
      </c>
      <c r="H378" s="303">
        <v>18.34</v>
      </c>
      <c r="I378" s="251"/>
      <c r="J378" s="272">
        <f t="shared" si="143"/>
        <v>30.13</v>
      </c>
      <c r="K378" s="272">
        <f t="shared" si="144"/>
        <v>150.65</v>
      </c>
      <c r="L378" s="273"/>
      <c r="M378" s="274">
        <f t="shared" si="145"/>
        <v>0</v>
      </c>
      <c r="N378" s="275"/>
      <c r="O378" s="276">
        <f t="shared" si="146"/>
        <v>0</v>
      </c>
      <c r="P378" s="273">
        <f t="shared" si="147"/>
        <v>0</v>
      </c>
      <c r="Q378" s="276">
        <f t="shared" si="148"/>
        <v>0</v>
      </c>
      <c r="R378" s="277">
        <f t="shared" si="149"/>
        <v>0</v>
      </c>
      <c r="S378" s="276">
        <f t="shared" si="150"/>
        <v>5</v>
      </c>
      <c r="T378" s="276">
        <f t="shared" si="151"/>
        <v>150.65</v>
      </c>
      <c r="U378" s="276"/>
      <c r="V378" s="249">
        <v>7786.2</v>
      </c>
      <c r="W378" s="278">
        <f>M378-V378</f>
        <v>-7786.2</v>
      </c>
      <c r="X378" s="279"/>
      <c r="Y378" s="249"/>
      <c r="Z378" s="313"/>
    </row>
    <row r="379" spans="1:26" ht="18" customHeight="1">
      <c r="A379" s="313" t="str">
        <f t="shared" si="142"/>
        <v>Liquidtight Flexible Metal Conduit Connector1-1/2"EA</v>
      </c>
      <c r="B379" s="266">
        <f t="shared" si="141"/>
        <v>336</v>
      </c>
      <c r="C379" s="301" t="s">
        <v>557</v>
      </c>
      <c r="D379" s="251" t="s">
        <v>555</v>
      </c>
      <c r="E379" s="252" t="s">
        <v>175</v>
      </c>
      <c r="F379" s="251">
        <v>2</v>
      </c>
      <c r="G379" s="303">
        <v>8.57</v>
      </c>
      <c r="H379" s="303">
        <v>15.46</v>
      </c>
      <c r="I379" s="251"/>
      <c r="J379" s="272">
        <f t="shared" si="143"/>
        <v>24.03</v>
      </c>
      <c r="K379" s="272">
        <f t="shared" si="144"/>
        <v>48.06</v>
      </c>
      <c r="L379" s="273"/>
      <c r="M379" s="274">
        <f t="shared" si="145"/>
        <v>0</v>
      </c>
      <c r="N379" s="275"/>
      <c r="O379" s="276">
        <f t="shared" si="146"/>
        <v>0</v>
      </c>
      <c r="P379" s="273">
        <f t="shared" si="147"/>
        <v>0</v>
      </c>
      <c r="Q379" s="276">
        <f t="shared" si="148"/>
        <v>0</v>
      </c>
      <c r="R379" s="277">
        <f t="shared" si="149"/>
        <v>0</v>
      </c>
      <c r="S379" s="276">
        <f t="shared" si="150"/>
        <v>2</v>
      </c>
      <c r="T379" s="276">
        <f t="shared" si="151"/>
        <v>48.06</v>
      </c>
      <c r="U379" s="276"/>
      <c r="V379" s="249"/>
      <c r="W379" s="278"/>
      <c r="X379" s="279"/>
      <c r="Y379" s="249"/>
      <c r="Z379" s="265"/>
    </row>
    <row r="380" spans="1:26" ht="18" customHeight="1">
      <c r="A380" s="313" t="str">
        <f t="shared" si="142"/>
        <v>Liquidtight Flexible Metal Conduit Connector1"EA</v>
      </c>
      <c r="B380" s="266">
        <f t="shared" si="141"/>
        <v>337</v>
      </c>
      <c r="C380" s="314" t="s">
        <v>557</v>
      </c>
      <c r="D380" s="315" t="s">
        <v>413</v>
      </c>
      <c r="E380" s="316" t="s">
        <v>175</v>
      </c>
      <c r="F380" s="315">
        <v>1</v>
      </c>
      <c r="G380" s="317">
        <v>5.89</v>
      </c>
      <c r="H380" s="317">
        <v>12.6</v>
      </c>
      <c r="I380" s="315"/>
      <c r="J380" s="272">
        <f t="shared" si="143"/>
        <v>18.489999999999998</v>
      </c>
      <c r="K380" s="318">
        <f t="shared" si="144"/>
        <v>18.489999999999998</v>
      </c>
      <c r="L380" s="273"/>
      <c r="M380" s="274">
        <f t="shared" si="145"/>
        <v>0</v>
      </c>
      <c r="N380" s="275"/>
      <c r="O380" s="276">
        <f t="shared" si="146"/>
        <v>0</v>
      </c>
      <c r="P380" s="273">
        <f t="shared" si="147"/>
        <v>0</v>
      </c>
      <c r="Q380" s="276">
        <f t="shared" si="148"/>
        <v>0</v>
      </c>
      <c r="R380" s="319">
        <f t="shared" si="149"/>
        <v>0</v>
      </c>
      <c r="S380" s="214">
        <f t="shared" si="150"/>
        <v>1</v>
      </c>
      <c r="T380" s="214">
        <f t="shared" si="151"/>
        <v>18.489999999999998</v>
      </c>
      <c r="U380" s="276"/>
      <c r="V380" s="249">
        <v>13349.448</v>
      </c>
      <c r="W380" s="278">
        <f t="shared" ref="W380:W386" si="152">M380-V380</f>
        <v>-13349.448</v>
      </c>
      <c r="X380" s="279"/>
      <c r="Y380" s="249"/>
      <c r="Z380" s="313"/>
    </row>
    <row r="381" spans="1:26" ht="18" customHeight="1">
      <c r="A381" s="313" t="str">
        <f t="shared" si="142"/>
        <v>Grounding Bushing3"EA</v>
      </c>
      <c r="B381" s="266">
        <f t="shared" si="141"/>
        <v>338</v>
      </c>
      <c r="C381" s="314" t="s">
        <v>558</v>
      </c>
      <c r="D381" s="251" t="s">
        <v>443</v>
      </c>
      <c r="E381" s="252" t="s">
        <v>175</v>
      </c>
      <c r="F381" s="251">
        <v>2</v>
      </c>
      <c r="G381" s="303">
        <v>12.86</v>
      </c>
      <c r="H381" s="303">
        <v>19.5</v>
      </c>
      <c r="I381" s="251"/>
      <c r="J381" s="272">
        <f t="shared" si="143"/>
        <v>32.36</v>
      </c>
      <c r="K381" s="272">
        <f t="shared" si="144"/>
        <v>64.72</v>
      </c>
      <c r="L381" s="273"/>
      <c r="M381" s="274">
        <f t="shared" si="145"/>
        <v>0</v>
      </c>
      <c r="N381" s="275"/>
      <c r="O381" s="276">
        <f t="shared" si="146"/>
        <v>0</v>
      </c>
      <c r="P381" s="273">
        <f t="shared" si="147"/>
        <v>0</v>
      </c>
      <c r="Q381" s="276">
        <f t="shared" si="148"/>
        <v>0</v>
      </c>
      <c r="R381" s="277">
        <f t="shared" si="149"/>
        <v>0</v>
      </c>
      <c r="S381" s="276">
        <f t="shared" si="150"/>
        <v>2</v>
      </c>
      <c r="T381" s="276">
        <f t="shared" si="151"/>
        <v>64.72</v>
      </c>
      <c r="U381" s="276"/>
      <c r="V381" s="249">
        <v>0</v>
      </c>
      <c r="W381" s="278">
        <f t="shared" si="152"/>
        <v>0</v>
      </c>
      <c r="X381" s="279"/>
      <c r="Y381" s="249"/>
      <c r="Z381" s="313"/>
    </row>
    <row r="382" spans="1:26" ht="18" customHeight="1">
      <c r="A382" s="320" t="str">
        <f t="shared" ref="A382:A409" si="153">+C382&amp;D382&amp;E382</f>
        <v>Grounding Bushing2"EA</v>
      </c>
      <c r="B382" s="266">
        <f t="shared" si="141"/>
        <v>339</v>
      </c>
      <c r="C382" s="301" t="s">
        <v>558</v>
      </c>
      <c r="D382" s="251" t="s">
        <v>415</v>
      </c>
      <c r="E382" s="252" t="s">
        <v>175</v>
      </c>
      <c r="F382" s="251">
        <v>5</v>
      </c>
      <c r="G382" s="303">
        <v>7.5</v>
      </c>
      <c r="H382" s="303">
        <v>15.46</v>
      </c>
      <c r="I382" s="251"/>
      <c r="J382" s="272">
        <f t="shared" si="143"/>
        <v>22.96</v>
      </c>
      <c r="K382" s="272">
        <f t="shared" si="144"/>
        <v>114.80000000000001</v>
      </c>
      <c r="L382" s="273"/>
      <c r="M382" s="274">
        <f t="shared" si="145"/>
        <v>0</v>
      </c>
      <c r="N382" s="275"/>
      <c r="O382" s="276">
        <f t="shared" si="146"/>
        <v>0</v>
      </c>
      <c r="P382" s="273">
        <f t="shared" si="147"/>
        <v>0</v>
      </c>
      <c r="Q382" s="276">
        <f t="shared" si="148"/>
        <v>0</v>
      </c>
      <c r="R382" s="277">
        <f t="shared" si="149"/>
        <v>0</v>
      </c>
      <c r="S382" s="276">
        <f t="shared" si="150"/>
        <v>5</v>
      </c>
      <c r="T382" s="276">
        <f t="shared" si="151"/>
        <v>114.80000000000001</v>
      </c>
      <c r="U382" s="276"/>
      <c r="V382" s="249">
        <v>0</v>
      </c>
      <c r="W382" s="278">
        <f t="shared" si="152"/>
        <v>0</v>
      </c>
      <c r="X382" s="279"/>
      <c r="Y382" s="249"/>
      <c r="Z382" s="265"/>
    </row>
    <row r="383" spans="1:26" ht="18" customHeight="1">
      <c r="A383" s="320" t="str">
        <f t="shared" si="153"/>
        <v>Grounding Bushing1-1/2"EA</v>
      </c>
      <c r="B383" s="266">
        <f t="shared" si="141"/>
        <v>340</v>
      </c>
      <c r="C383" s="301" t="s">
        <v>558</v>
      </c>
      <c r="D383" s="251" t="s">
        <v>555</v>
      </c>
      <c r="E383" s="252" t="s">
        <v>175</v>
      </c>
      <c r="F383" s="251">
        <v>8</v>
      </c>
      <c r="G383" s="303">
        <v>5.89</v>
      </c>
      <c r="H383" s="303">
        <v>12.85</v>
      </c>
      <c r="I383" s="251"/>
      <c r="J383" s="272">
        <f t="shared" si="143"/>
        <v>18.739999999999998</v>
      </c>
      <c r="K383" s="272">
        <f t="shared" si="144"/>
        <v>149.91999999999999</v>
      </c>
      <c r="L383" s="273"/>
      <c r="M383" s="274">
        <f t="shared" si="145"/>
        <v>0</v>
      </c>
      <c r="N383" s="275"/>
      <c r="O383" s="276">
        <f t="shared" si="146"/>
        <v>0</v>
      </c>
      <c r="P383" s="273">
        <f t="shared" si="147"/>
        <v>0</v>
      </c>
      <c r="Q383" s="276">
        <f t="shared" si="148"/>
        <v>0</v>
      </c>
      <c r="R383" s="277">
        <f t="shared" si="149"/>
        <v>0</v>
      </c>
      <c r="S383" s="276">
        <f t="shared" si="150"/>
        <v>8</v>
      </c>
      <c r="T383" s="276">
        <f t="shared" si="151"/>
        <v>149.91999999999999</v>
      </c>
      <c r="U383" s="276"/>
      <c r="V383" s="249">
        <v>0</v>
      </c>
      <c r="W383" s="278">
        <f t="shared" si="152"/>
        <v>0</v>
      </c>
      <c r="X383" s="279"/>
      <c r="Y383" s="249"/>
      <c r="Z383" s="265"/>
    </row>
    <row r="384" spans="1:26" ht="18" customHeight="1">
      <c r="A384" s="320" t="str">
        <f t="shared" si="153"/>
        <v>Grounding Bushing1"EA</v>
      </c>
      <c r="B384" s="266">
        <f t="shared" si="141"/>
        <v>341</v>
      </c>
      <c r="C384" s="301" t="s">
        <v>558</v>
      </c>
      <c r="D384" s="251" t="s">
        <v>413</v>
      </c>
      <c r="E384" s="252" t="s">
        <v>175</v>
      </c>
      <c r="F384" s="251">
        <v>8</v>
      </c>
      <c r="G384" s="303">
        <v>4.28</v>
      </c>
      <c r="H384" s="303">
        <v>11.45</v>
      </c>
      <c r="I384" s="251"/>
      <c r="J384" s="272">
        <f t="shared" si="143"/>
        <v>15.73</v>
      </c>
      <c r="K384" s="272">
        <f t="shared" si="144"/>
        <v>125.84</v>
      </c>
      <c r="L384" s="273"/>
      <c r="M384" s="274">
        <f t="shared" si="145"/>
        <v>0</v>
      </c>
      <c r="N384" s="275"/>
      <c r="O384" s="276">
        <f t="shared" si="146"/>
        <v>0</v>
      </c>
      <c r="P384" s="273">
        <f t="shared" si="147"/>
        <v>0</v>
      </c>
      <c r="Q384" s="276">
        <f t="shared" si="148"/>
        <v>0</v>
      </c>
      <c r="R384" s="277">
        <f t="shared" si="149"/>
        <v>0</v>
      </c>
      <c r="S384" s="276">
        <f t="shared" si="150"/>
        <v>8</v>
      </c>
      <c r="T384" s="276">
        <f t="shared" si="151"/>
        <v>125.84</v>
      </c>
      <c r="U384" s="276"/>
      <c r="V384" s="249">
        <v>0</v>
      </c>
      <c r="W384" s="278">
        <f t="shared" si="152"/>
        <v>0</v>
      </c>
      <c r="X384" s="279"/>
      <c r="Y384" s="249"/>
      <c r="Z384" s="265"/>
    </row>
    <row r="385" spans="1:26" ht="18" customHeight="1">
      <c r="A385" s="320" t="str">
        <f t="shared" si="153"/>
        <v>SINGLE CONDUCTOR (THHN/THWN-2) - STRANDED500kcmilLF</v>
      </c>
      <c r="B385" s="266">
        <f t="shared" si="141"/>
        <v>342</v>
      </c>
      <c r="C385" s="301" t="s">
        <v>559</v>
      </c>
      <c r="D385" s="251" t="s">
        <v>560</v>
      </c>
      <c r="E385" s="252" t="s">
        <v>166</v>
      </c>
      <c r="F385" s="251">
        <v>744</v>
      </c>
      <c r="G385" s="303">
        <v>7.23</v>
      </c>
      <c r="H385" s="303">
        <v>5.83</v>
      </c>
      <c r="I385" s="251"/>
      <c r="J385" s="272">
        <f t="shared" si="143"/>
        <v>13.06</v>
      </c>
      <c r="K385" s="272">
        <f t="shared" si="144"/>
        <v>9716.6400000000012</v>
      </c>
      <c r="L385" s="273"/>
      <c r="M385" s="274">
        <f t="shared" si="145"/>
        <v>0</v>
      </c>
      <c r="N385" s="275">
        <v>744</v>
      </c>
      <c r="O385" s="276">
        <f t="shared" si="146"/>
        <v>9716.6400000000012</v>
      </c>
      <c r="P385" s="273">
        <f t="shared" si="147"/>
        <v>744</v>
      </c>
      <c r="Q385" s="276">
        <f t="shared" si="148"/>
        <v>9716.6400000000012</v>
      </c>
      <c r="R385" s="277">
        <f t="shared" si="149"/>
        <v>1</v>
      </c>
      <c r="S385" s="276">
        <f t="shared" si="150"/>
        <v>0</v>
      </c>
      <c r="T385" s="276">
        <f t="shared" si="151"/>
        <v>0</v>
      </c>
      <c r="U385" s="276"/>
      <c r="V385" s="249">
        <v>0</v>
      </c>
      <c r="W385" s="278">
        <f t="shared" si="152"/>
        <v>0</v>
      </c>
      <c r="X385" s="279"/>
      <c r="Y385" s="249"/>
      <c r="Z385" s="265"/>
    </row>
    <row r="386" spans="1:26" ht="18" customHeight="1">
      <c r="A386" s="320" t="str">
        <f t="shared" si="153"/>
        <v>SINGLE CONDUCTOR (THHN/THWN-2) - STRANDED250kcmilLF</v>
      </c>
      <c r="B386" s="266">
        <f t="shared" si="141"/>
        <v>343</v>
      </c>
      <c r="C386" s="301" t="s">
        <v>559</v>
      </c>
      <c r="D386" s="251" t="s">
        <v>561</v>
      </c>
      <c r="E386" s="252" t="s">
        <v>166</v>
      </c>
      <c r="F386" s="251">
        <v>1347</v>
      </c>
      <c r="G386" s="303">
        <v>3.85</v>
      </c>
      <c r="H386" s="303">
        <v>4.17</v>
      </c>
      <c r="I386" s="251"/>
      <c r="J386" s="272">
        <f t="shared" si="143"/>
        <v>8.02</v>
      </c>
      <c r="K386" s="272">
        <f t="shared" si="144"/>
        <v>10802.939999999999</v>
      </c>
      <c r="L386" s="273"/>
      <c r="M386" s="274">
        <f t="shared" si="145"/>
        <v>0</v>
      </c>
      <c r="N386" s="275">
        <v>1347</v>
      </c>
      <c r="O386" s="276">
        <f t="shared" si="146"/>
        <v>10802.939999999999</v>
      </c>
      <c r="P386" s="273">
        <f t="shared" si="147"/>
        <v>1347</v>
      </c>
      <c r="Q386" s="276">
        <f t="shared" si="148"/>
        <v>10802.939999999999</v>
      </c>
      <c r="R386" s="277">
        <f t="shared" si="149"/>
        <v>1</v>
      </c>
      <c r="S386" s="276">
        <f t="shared" si="150"/>
        <v>0</v>
      </c>
      <c r="T386" s="276">
        <f t="shared" si="151"/>
        <v>0</v>
      </c>
      <c r="U386" s="276"/>
      <c r="V386" s="249">
        <v>0</v>
      </c>
      <c r="W386" s="278">
        <f t="shared" si="152"/>
        <v>0</v>
      </c>
      <c r="X386" s="279"/>
      <c r="Y386" s="249"/>
      <c r="Z386" s="265"/>
    </row>
    <row r="387" spans="1:26" ht="18" customHeight="1">
      <c r="A387" s="320" t="str">
        <f t="shared" si="153"/>
        <v>SINGLE CONDUCTOR (THHN/THWN-2) - STRANDEDAWG#3/0LF</v>
      </c>
      <c r="B387" s="266">
        <f t="shared" si="141"/>
        <v>344</v>
      </c>
      <c r="C387" s="301" t="s">
        <v>559</v>
      </c>
      <c r="D387" s="251" t="s">
        <v>562</v>
      </c>
      <c r="E387" s="252" t="s">
        <v>166</v>
      </c>
      <c r="F387" s="251">
        <v>264</v>
      </c>
      <c r="G387" s="303">
        <v>2.19</v>
      </c>
      <c r="H387" s="303">
        <v>3.13</v>
      </c>
      <c r="I387" s="251"/>
      <c r="J387" s="272">
        <f t="shared" si="143"/>
        <v>5.32</v>
      </c>
      <c r="K387" s="272">
        <f t="shared" si="144"/>
        <v>1404.48</v>
      </c>
      <c r="L387" s="273"/>
      <c r="M387" s="274">
        <f t="shared" si="145"/>
        <v>0</v>
      </c>
      <c r="N387" s="275">
        <v>264</v>
      </c>
      <c r="O387" s="276">
        <f t="shared" si="146"/>
        <v>1404.48</v>
      </c>
      <c r="P387" s="273">
        <f t="shared" si="147"/>
        <v>264</v>
      </c>
      <c r="Q387" s="276">
        <f t="shared" si="148"/>
        <v>1404.48</v>
      </c>
      <c r="R387" s="277">
        <f t="shared" si="149"/>
        <v>1</v>
      </c>
      <c r="S387" s="276">
        <f t="shared" si="150"/>
        <v>0</v>
      </c>
      <c r="T387" s="276">
        <f t="shared" si="151"/>
        <v>0</v>
      </c>
      <c r="U387" s="276"/>
      <c r="V387" s="249"/>
      <c r="W387" s="278"/>
      <c r="X387" s="279"/>
      <c r="Y387" s="249"/>
      <c r="Z387" s="265"/>
    </row>
    <row r="388" spans="1:26" ht="18" customHeight="1">
      <c r="A388" s="320" t="str">
        <f t="shared" si="153"/>
        <v>SINGLE CONDUCTOR (THHN/THWN-2) - STRANDEDAWG#1/0LF</v>
      </c>
      <c r="B388" s="266">
        <f t="shared" si="141"/>
        <v>345</v>
      </c>
      <c r="C388" s="301" t="s">
        <v>559</v>
      </c>
      <c r="D388" s="251" t="s">
        <v>563</v>
      </c>
      <c r="E388" s="252" t="s">
        <v>166</v>
      </c>
      <c r="F388" s="251">
        <v>352</v>
      </c>
      <c r="G388" s="303">
        <v>1.7</v>
      </c>
      <c r="H388" s="303">
        <v>2.84</v>
      </c>
      <c r="I388" s="251"/>
      <c r="J388" s="272">
        <f t="shared" si="143"/>
        <v>4.54</v>
      </c>
      <c r="K388" s="272">
        <f t="shared" si="144"/>
        <v>1598.08</v>
      </c>
      <c r="L388" s="273"/>
      <c r="M388" s="274">
        <f t="shared" si="145"/>
        <v>0</v>
      </c>
      <c r="N388" s="275">
        <v>352</v>
      </c>
      <c r="O388" s="276">
        <f t="shared" si="146"/>
        <v>1598.08</v>
      </c>
      <c r="P388" s="273">
        <f t="shared" si="147"/>
        <v>352</v>
      </c>
      <c r="Q388" s="276">
        <f t="shared" si="148"/>
        <v>1598.08</v>
      </c>
      <c r="R388" s="277">
        <f t="shared" si="149"/>
        <v>1</v>
      </c>
      <c r="S388" s="276">
        <f t="shared" si="150"/>
        <v>0</v>
      </c>
      <c r="T388" s="276">
        <f t="shared" si="151"/>
        <v>0</v>
      </c>
      <c r="U388" s="276"/>
      <c r="V388" s="249"/>
      <c r="W388" s="278"/>
      <c r="X388" s="279"/>
      <c r="Y388" s="249"/>
      <c r="Z388" s="265"/>
    </row>
    <row r="389" spans="1:26" ht="18" customHeight="1">
      <c r="A389" s="320" t="str">
        <f t="shared" si="153"/>
        <v>SINGLE CONDUCTOR (THHN/THWN-2) - STRANDEDAWG#1LF</v>
      </c>
      <c r="B389" s="266">
        <f t="shared" si="141"/>
        <v>346</v>
      </c>
      <c r="C389" s="301" t="s">
        <v>559</v>
      </c>
      <c r="D389" s="251" t="s">
        <v>564</v>
      </c>
      <c r="E389" s="252" t="s">
        <v>166</v>
      </c>
      <c r="F389" s="251">
        <v>352</v>
      </c>
      <c r="G389" s="303">
        <v>1.43</v>
      </c>
      <c r="H389" s="303">
        <v>2.6</v>
      </c>
      <c r="I389" s="251"/>
      <c r="J389" s="272">
        <f t="shared" si="143"/>
        <v>4.03</v>
      </c>
      <c r="K389" s="272">
        <f t="shared" si="144"/>
        <v>1418.5600000000002</v>
      </c>
      <c r="L389" s="273"/>
      <c r="M389" s="274">
        <f t="shared" si="145"/>
        <v>0</v>
      </c>
      <c r="N389" s="275">
        <v>352</v>
      </c>
      <c r="O389" s="276">
        <f t="shared" si="146"/>
        <v>1418.5600000000002</v>
      </c>
      <c r="P389" s="273">
        <f t="shared" si="147"/>
        <v>352</v>
      </c>
      <c r="Q389" s="276">
        <f t="shared" si="148"/>
        <v>1418.5600000000002</v>
      </c>
      <c r="R389" s="277">
        <f t="shared" si="149"/>
        <v>1</v>
      </c>
      <c r="S389" s="276">
        <f t="shared" si="150"/>
        <v>0</v>
      </c>
      <c r="T389" s="276">
        <f t="shared" si="151"/>
        <v>0</v>
      </c>
      <c r="U389" s="276"/>
      <c r="V389" s="249"/>
      <c r="W389" s="278"/>
      <c r="X389" s="279"/>
      <c r="Y389" s="249"/>
      <c r="Z389" s="265"/>
    </row>
    <row r="390" spans="1:26" ht="18" customHeight="1">
      <c r="A390" s="320" t="str">
        <f t="shared" si="153"/>
        <v>SINGLE CONDUCTOR (THHN/THWN-2) - STRANDEDAWG#6LF</v>
      </c>
      <c r="B390" s="266">
        <f t="shared" si="141"/>
        <v>347</v>
      </c>
      <c r="C390" s="301" t="s">
        <v>559</v>
      </c>
      <c r="D390" s="251" t="s">
        <v>565</v>
      </c>
      <c r="E390" s="252" t="s">
        <v>166</v>
      </c>
      <c r="F390" s="251">
        <v>500</v>
      </c>
      <c r="G390" s="303">
        <v>0.57999999999999996</v>
      </c>
      <c r="H390" s="303">
        <v>1.53</v>
      </c>
      <c r="I390" s="251"/>
      <c r="J390" s="272">
        <f t="shared" si="143"/>
        <v>2.11</v>
      </c>
      <c r="K390" s="272">
        <f t="shared" si="144"/>
        <v>1055</v>
      </c>
      <c r="L390" s="273"/>
      <c r="M390" s="274">
        <f t="shared" si="145"/>
        <v>0</v>
      </c>
      <c r="N390" s="275">
        <v>500</v>
      </c>
      <c r="O390" s="276">
        <f t="shared" si="146"/>
        <v>1055</v>
      </c>
      <c r="P390" s="273">
        <f t="shared" si="147"/>
        <v>500</v>
      </c>
      <c r="Q390" s="276">
        <f t="shared" si="148"/>
        <v>1055</v>
      </c>
      <c r="R390" s="277">
        <f t="shared" si="149"/>
        <v>1</v>
      </c>
      <c r="S390" s="276">
        <f t="shared" si="150"/>
        <v>0</v>
      </c>
      <c r="T390" s="276">
        <f t="shared" si="151"/>
        <v>0</v>
      </c>
      <c r="U390" s="276"/>
      <c r="V390" s="249"/>
      <c r="W390" s="278"/>
      <c r="X390" s="279"/>
      <c r="Y390" s="249"/>
      <c r="Z390" s="265"/>
    </row>
    <row r="391" spans="1:26" ht="18" customHeight="1">
      <c r="A391" s="320" t="str">
        <f t="shared" si="153"/>
        <v>SINGLE CONDUCTOR (THHN/THWN) - STRANDEDAWG#2, GroundLF</v>
      </c>
      <c r="B391" s="266">
        <f t="shared" si="141"/>
        <v>348</v>
      </c>
      <c r="C391" s="301" t="s">
        <v>566</v>
      </c>
      <c r="D391" s="251" t="s">
        <v>567</v>
      </c>
      <c r="E391" s="252" t="s">
        <v>166</v>
      </c>
      <c r="F391" s="251">
        <v>572</v>
      </c>
      <c r="G391" s="303">
        <v>1.17</v>
      </c>
      <c r="H391" s="303">
        <v>2.35</v>
      </c>
      <c r="I391" s="251"/>
      <c r="J391" s="272">
        <f t="shared" si="143"/>
        <v>3.52</v>
      </c>
      <c r="K391" s="272">
        <f t="shared" si="144"/>
        <v>2013.44</v>
      </c>
      <c r="L391" s="273"/>
      <c r="M391" s="274">
        <f t="shared" si="145"/>
        <v>0</v>
      </c>
      <c r="N391" s="275">
        <v>572</v>
      </c>
      <c r="O391" s="276">
        <f t="shared" si="146"/>
        <v>2013.44</v>
      </c>
      <c r="P391" s="273">
        <f t="shared" si="147"/>
        <v>572</v>
      </c>
      <c r="Q391" s="276">
        <f t="shared" si="148"/>
        <v>2013.44</v>
      </c>
      <c r="R391" s="277">
        <f t="shared" si="149"/>
        <v>1</v>
      </c>
      <c r="S391" s="276">
        <f t="shared" si="150"/>
        <v>0</v>
      </c>
      <c r="T391" s="276">
        <f t="shared" si="151"/>
        <v>0</v>
      </c>
      <c r="U391" s="276"/>
      <c r="V391" s="249"/>
      <c r="W391" s="278"/>
      <c r="X391" s="279"/>
      <c r="Y391" s="249"/>
      <c r="Z391" s="265"/>
    </row>
    <row r="392" spans="1:26" ht="18" customHeight="1">
      <c r="A392" s="320" t="str">
        <f t="shared" si="153"/>
        <v>SINGLE CONDUCTOR (THHN/THWN) - STRANDEDAWG#4, GroundLF</v>
      </c>
      <c r="B392" s="266">
        <f t="shared" si="141"/>
        <v>349</v>
      </c>
      <c r="C392" s="301" t="s">
        <v>566</v>
      </c>
      <c r="D392" s="251" t="s">
        <v>568</v>
      </c>
      <c r="E392" s="252" t="s">
        <v>166</v>
      </c>
      <c r="F392" s="251">
        <v>88</v>
      </c>
      <c r="G392" s="303">
        <v>0.79</v>
      </c>
      <c r="H392" s="303">
        <v>1.92</v>
      </c>
      <c r="I392" s="251"/>
      <c r="J392" s="272">
        <f t="shared" si="143"/>
        <v>2.71</v>
      </c>
      <c r="K392" s="272">
        <f t="shared" si="144"/>
        <v>238.48</v>
      </c>
      <c r="L392" s="273"/>
      <c r="M392" s="274">
        <f t="shared" si="145"/>
        <v>0</v>
      </c>
      <c r="N392" s="275">
        <v>88</v>
      </c>
      <c r="O392" s="276">
        <f t="shared" si="146"/>
        <v>238.48</v>
      </c>
      <c r="P392" s="273">
        <f t="shared" si="147"/>
        <v>88</v>
      </c>
      <c r="Q392" s="276">
        <f t="shared" si="148"/>
        <v>238.48</v>
      </c>
      <c r="R392" s="277">
        <f t="shared" si="149"/>
        <v>1</v>
      </c>
      <c r="S392" s="276">
        <f t="shared" si="150"/>
        <v>0</v>
      </c>
      <c r="T392" s="276">
        <f t="shared" si="151"/>
        <v>0</v>
      </c>
      <c r="U392" s="276"/>
      <c r="V392" s="249"/>
      <c r="W392" s="278"/>
      <c r="X392" s="279"/>
      <c r="Y392" s="249"/>
      <c r="Z392" s="265"/>
    </row>
    <row r="393" spans="1:26" ht="18" customHeight="1">
      <c r="A393" s="320" t="str">
        <f t="shared" si="153"/>
        <v>SINGLE CONDUCTOR (THHN/THWN) - STRANDEDAWG#6, GroundLF</v>
      </c>
      <c r="B393" s="266">
        <f t="shared" si="141"/>
        <v>350</v>
      </c>
      <c r="C393" s="301" t="s">
        <v>566</v>
      </c>
      <c r="D393" s="251" t="s">
        <v>569</v>
      </c>
      <c r="E393" s="252" t="s">
        <v>166</v>
      </c>
      <c r="F393" s="251">
        <v>176</v>
      </c>
      <c r="G393" s="303">
        <v>0.57999999999999996</v>
      </c>
      <c r="H393" s="303">
        <v>1.53</v>
      </c>
      <c r="I393" s="251"/>
      <c r="J393" s="272">
        <f t="shared" si="143"/>
        <v>2.11</v>
      </c>
      <c r="K393" s="272">
        <f t="shared" si="144"/>
        <v>371.35999999999996</v>
      </c>
      <c r="L393" s="273"/>
      <c r="M393" s="274">
        <f t="shared" si="145"/>
        <v>0</v>
      </c>
      <c r="N393" s="275">
        <v>176</v>
      </c>
      <c r="O393" s="276">
        <f t="shared" si="146"/>
        <v>371.35999999999996</v>
      </c>
      <c r="P393" s="273">
        <f t="shared" si="147"/>
        <v>176</v>
      </c>
      <c r="Q393" s="276">
        <f t="shared" si="148"/>
        <v>371.35999999999996</v>
      </c>
      <c r="R393" s="277">
        <f t="shared" si="149"/>
        <v>1</v>
      </c>
      <c r="S393" s="276">
        <f t="shared" si="150"/>
        <v>0</v>
      </c>
      <c r="T393" s="276">
        <f t="shared" si="151"/>
        <v>0</v>
      </c>
      <c r="U393" s="276"/>
      <c r="V393" s="249"/>
      <c r="W393" s="278"/>
      <c r="X393" s="279"/>
      <c r="Y393" s="249"/>
      <c r="Z393" s="265"/>
    </row>
    <row r="394" spans="1:26" ht="18" customHeight="1">
      <c r="A394" s="320" t="str">
        <f t="shared" si="153"/>
        <v>SINGLE CONDUCTOR (THHN/THWN) - STRANDEDAWG#8, GroundLF</v>
      </c>
      <c r="B394" s="266">
        <f t="shared" si="141"/>
        <v>351</v>
      </c>
      <c r="C394" s="301" t="s">
        <v>566</v>
      </c>
      <c r="D394" s="251" t="s">
        <v>570</v>
      </c>
      <c r="E394" s="252" t="s">
        <v>166</v>
      </c>
      <c r="F394" s="251">
        <v>60</v>
      </c>
      <c r="G394" s="303">
        <v>0.39</v>
      </c>
      <c r="H394" s="303">
        <v>1.42</v>
      </c>
      <c r="I394" s="251"/>
      <c r="J394" s="272">
        <f t="shared" si="143"/>
        <v>1.81</v>
      </c>
      <c r="K394" s="272">
        <f t="shared" si="144"/>
        <v>108.60000000000001</v>
      </c>
      <c r="L394" s="273"/>
      <c r="M394" s="274">
        <f t="shared" si="145"/>
        <v>0</v>
      </c>
      <c r="N394" s="275">
        <v>60</v>
      </c>
      <c r="O394" s="276">
        <f t="shared" si="146"/>
        <v>108.60000000000001</v>
      </c>
      <c r="P394" s="273">
        <f t="shared" si="147"/>
        <v>60</v>
      </c>
      <c r="Q394" s="276">
        <f t="shared" si="148"/>
        <v>108.60000000000001</v>
      </c>
      <c r="R394" s="277">
        <f t="shared" si="149"/>
        <v>1</v>
      </c>
      <c r="S394" s="276">
        <f t="shared" si="150"/>
        <v>0</v>
      </c>
      <c r="T394" s="276">
        <f t="shared" si="151"/>
        <v>0</v>
      </c>
      <c r="U394" s="276"/>
      <c r="V394" s="249"/>
      <c r="W394" s="278"/>
      <c r="X394" s="279"/>
      <c r="Y394" s="249"/>
      <c r="Z394" s="265"/>
    </row>
    <row r="395" spans="1:26" ht="18" customHeight="1">
      <c r="A395" s="320" t="str">
        <f t="shared" si="153"/>
        <v>CONNECTION AND TERMINATION#500 Kcmil COMPRESSION TYPEEA</v>
      </c>
      <c r="B395" s="266">
        <f t="shared" si="141"/>
        <v>352</v>
      </c>
      <c r="C395" s="301" t="s">
        <v>571</v>
      </c>
      <c r="D395" s="251" t="s">
        <v>572</v>
      </c>
      <c r="E395" s="252" t="s">
        <v>175</v>
      </c>
      <c r="F395" s="251">
        <v>12</v>
      </c>
      <c r="G395" s="303">
        <v>24.13</v>
      </c>
      <c r="H395" s="303">
        <v>83.81</v>
      </c>
      <c r="I395" s="251"/>
      <c r="J395" s="272">
        <f t="shared" si="143"/>
        <v>107.94</v>
      </c>
      <c r="K395" s="272">
        <f t="shared" si="144"/>
        <v>1295.28</v>
      </c>
      <c r="L395" s="273"/>
      <c r="M395" s="274">
        <f t="shared" si="145"/>
        <v>0</v>
      </c>
      <c r="N395" s="275"/>
      <c r="O395" s="276">
        <f t="shared" si="146"/>
        <v>0</v>
      </c>
      <c r="P395" s="273">
        <f t="shared" si="147"/>
        <v>0</v>
      </c>
      <c r="Q395" s="276">
        <f t="shared" si="148"/>
        <v>0</v>
      </c>
      <c r="R395" s="277">
        <f t="shared" si="149"/>
        <v>0</v>
      </c>
      <c r="S395" s="276">
        <f t="shared" si="150"/>
        <v>12</v>
      </c>
      <c r="T395" s="276">
        <f t="shared" si="151"/>
        <v>1295.28</v>
      </c>
      <c r="U395" s="276"/>
      <c r="V395" s="249"/>
      <c r="W395" s="278"/>
      <c r="X395" s="279"/>
      <c r="Y395" s="249"/>
      <c r="Z395" s="265"/>
    </row>
    <row r="396" spans="1:26" ht="18" customHeight="1">
      <c r="A396" s="320" t="str">
        <f t="shared" si="153"/>
        <v>CONNECTION AND TERMINATION#250 Kcmil COMPRESSION TYPEEA</v>
      </c>
      <c r="B396" s="266">
        <f t="shared" si="141"/>
        <v>353</v>
      </c>
      <c r="C396" s="301" t="s">
        <v>571</v>
      </c>
      <c r="D396" s="251" t="s">
        <v>573</v>
      </c>
      <c r="E396" s="252" t="s">
        <v>175</v>
      </c>
      <c r="F396" s="251">
        <v>6</v>
      </c>
      <c r="G396" s="303">
        <v>17.16</v>
      </c>
      <c r="H396" s="303">
        <v>61.97</v>
      </c>
      <c r="I396" s="251"/>
      <c r="J396" s="272">
        <f t="shared" si="143"/>
        <v>79.13</v>
      </c>
      <c r="K396" s="272">
        <f t="shared" si="144"/>
        <v>474.78</v>
      </c>
      <c r="L396" s="273"/>
      <c r="M396" s="274">
        <f t="shared" si="145"/>
        <v>0</v>
      </c>
      <c r="N396" s="275"/>
      <c r="O396" s="276">
        <f t="shared" si="146"/>
        <v>0</v>
      </c>
      <c r="P396" s="273">
        <f t="shared" si="147"/>
        <v>0</v>
      </c>
      <c r="Q396" s="276">
        <f t="shared" si="148"/>
        <v>0</v>
      </c>
      <c r="R396" s="277">
        <f t="shared" si="149"/>
        <v>0</v>
      </c>
      <c r="S396" s="276">
        <f t="shared" si="150"/>
        <v>6</v>
      </c>
      <c r="T396" s="276">
        <f t="shared" si="151"/>
        <v>474.78</v>
      </c>
      <c r="U396" s="276"/>
      <c r="V396" s="249"/>
      <c r="W396" s="278"/>
      <c r="X396" s="279"/>
      <c r="Y396" s="249"/>
      <c r="Z396" s="265"/>
    </row>
    <row r="397" spans="1:26" ht="18" customHeight="1">
      <c r="A397" s="320" t="str">
        <f t="shared" si="153"/>
        <v>CONNECTION AND TERMINATIONAWG#3/0 COMPRESSION TYPEEA</v>
      </c>
      <c r="B397" s="266">
        <f t="shared" si="141"/>
        <v>354</v>
      </c>
      <c r="C397" s="301" t="s">
        <v>571</v>
      </c>
      <c r="D397" s="251" t="s">
        <v>574</v>
      </c>
      <c r="E397" s="252" t="s">
        <v>175</v>
      </c>
      <c r="F397" s="251">
        <v>12</v>
      </c>
      <c r="G397" s="303">
        <v>11.79</v>
      </c>
      <c r="H397" s="303">
        <v>44.78</v>
      </c>
      <c r="I397" s="251"/>
      <c r="J397" s="272">
        <f t="shared" si="143"/>
        <v>56.57</v>
      </c>
      <c r="K397" s="272">
        <f t="shared" si="144"/>
        <v>678.84</v>
      </c>
      <c r="L397" s="273"/>
      <c r="M397" s="274">
        <f t="shared" si="145"/>
        <v>0</v>
      </c>
      <c r="N397" s="275"/>
      <c r="O397" s="276">
        <f t="shared" si="146"/>
        <v>0</v>
      </c>
      <c r="P397" s="273">
        <f t="shared" si="147"/>
        <v>0</v>
      </c>
      <c r="Q397" s="276">
        <f t="shared" si="148"/>
        <v>0</v>
      </c>
      <c r="R397" s="277">
        <f t="shared" si="149"/>
        <v>0</v>
      </c>
      <c r="S397" s="276">
        <f t="shared" si="150"/>
        <v>12</v>
      </c>
      <c r="T397" s="276">
        <f t="shared" si="151"/>
        <v>678.84</v>
      </c>
      <c r="U397" s="276"/>
      <c r="V397" s="249"/>
      <c r="W397" s="278"/>
      <c r="X397" s="279"/>
      <c r="Y397" s="249"/>
      <c r="Z397" s="265"/>
    </row>
    <row r="398" spans="1:26" ht="18" customHeight="1">
      <c r="A398" s="320" t="str">
        <f t="shared" si="153"/>
        <v>CONNECTION AND TERMINATIONAWG#1/0 COMPRESSION TYPEEA</v>
      </c>
      <c r="B398" s="266">
        <f t="shared" si="141"/>
        <v>355</v>
      </c>
      <c r="C398" s="301" t="s">
        <v>571</v>
      </c>
      <c r="D398" s="251" t="s">
        <v>575</v>
      </c>
      <c r="E398" s="252" t="s">
        <v>175</v>
      </c>
      <c r="F398" s="251">
        <v>16</v>
      </c>
      <c r="G398" s="303">
        <v>9.66</v>
      </c>
      <c r="H398" s="303">
        <v>39.03</v>
      </c>
      <c r="I398" s="251"/>
      <c r="J398" s="272">
        <f t="shared" si="143"/>
        <v>48.69</v>
      </c>
      <c r="K398" s="272">
        <f t="shared" si="144"/>
        <v>779.04</v>
      </c>
      <c r="L398" s="273"/>
      <c r="M398" s="274">
        <f t="shared" si="145"/>
        <v>0</v>
      </c>
      <c r="N398" s="275"/>
      <c r="O398" s="276">
        <f t="shared" si="146"/>
        <v>0</v>
      </c>
      <c r="P398" s="273">
        <f t="shared" si="147"/>
        <v>0</v>
      </c>
      <c r="Q398" s="276">
        <f t="shared" si="148"/>
        <v>0</v>
      </c>
      <c r="R398" s="277">
        <f t="shared" si="149"/>
        <v>0</v>
      </c>
      <c r="S398" s="276">
        <f t="shared" si="150"/>
        <v>16</v>
      </c>
      <c r="T398" s="276">
        <f t="shared" si="151"/>
        <v>779.04</v>
      </c>
      <c r="U398" s="276"/>
      <c r="V398" s="249"/>
      <c r="W398" s="278"/>
      <c r="X398" s="279"/>
      <c r="Y398" s="249"/>
      <c r="Z398" s="265"/>
    </row>
    <row r="399" spans="1:26" ht="18" customHeight="1">
      <c r="A399" s="320" t="str">
        <f t="shared" si="153"/>
        <v>CONNECTION AND TERMINATIONAWG#1 COMPRESSION TYPEEA</v>
      </c>
      <c r="B399" s="266">
        <f t="shared" si="141"/>
        <v>356</v>
      </c>
      <c r="C399" s="301" t="s">
        <v>571</v>
      </c>
      <c r="D399" s="251" t="s">
        <v>576</v>
      </c>
      <c r="E399" s="252" t="s">
        <v>175</v>
      </c>
      <c r="F399" s="251">
        <v>16</v>
      </c>
      <c r="G399" s="303">
        <v>8.0399999999999991</v>
      </c>
      <c r="H399" s="303">
        <v>33.299999999999997</v>
      </c>
      <c r="I399" s="251"/>
      <c r="J399" s="272">
        <f t="shared" si="143"/>
        <v>41.339999999999996</v>
      </c>
      <c r="K399" s="272">
        <f t="shared" si="144"/>
        <v>661.43999999999994</v>
      </c>
      <c r="L399" s="273"/>
      <c r="M399" s="274">
        <f t="shared" si="145"/>
        <v>0</v>
      </c>
      <c r="N399" s="275"/>
      <c r="O399" s="276">
        <f t="shared" si="146"/>
        <v>0</v>
      </c>
      <c r="P399" s="273">
        <f t="shared" si="147"/>
        <v>0</v>
      </c>
      <c r="Q399" s="276">
        <f t="shared" si="148"/>
        <v>0</v>
      </c>
      <c r="R399" s="277">
        <f t="shared" si="149"/>
        <v>0</v>
      </c>
      <c r="S399" s="276">
        <f t="shared" si="150"/>
        <v>16</v>
      </c>
      <c r="T399" s="276">
        <f t="shared" si="151"/>
        <v>661.43999999999994</v>
      </c>
      <c r="U399" s="276"/>
      <c r="V399" s="249"/>
      <c r="W399" s="278"/>
      <c r="X399" s="279"/>
      <c r="Y399" s="249"/>
      <c r="Z399" s="265"/>
    </row>
    <row r="400" spans="1:26" ht="18" customHeight="1">
      <c r="A400" s="320" t="str">
        <f t="shared" si="153"/>
        <v>CONNECTION AND TERMINATIONAWG#2 COMPRESSION TYPEEA</v>
      </c>
      <c r="B400" s="266">
        <f t="shared" si="141"/>
        <v>357</v>
      </c>
      <c r="C400" s="301" t="s">
        <v>571</v>
      </c>
      <c r="D400" s="251" t="s">
        <v>577</v>
      </c>
      <c r="E400" s="252" t="s">
        <v>175</v>
      </c>
      <c r="F400" s="251">
        <v>2</v>
      </c>
      <c r="G400" s="303">
        <v>6.97</v>
      </c>
      <c r="H400" s="303">
        <v>28.7</v>
      </c>
      <c r="I400" s="251"/>
      <c r="J400" s="272">
        <f t="shared" si="143"/>
        <v>35.67</v>
      </c>
      <c r="K400" s="272">
        <f t="shared" si="144"/>
        <v>71.34</v>
      </c>
      <c r="L400" s="273"/>
      <c r="M400" s="274">
        <f t="shared" si="145"/>
        <v>0</v>
      </c>
      <c r="N400" s="275"/>
      <c r="O400" s="276">
        <f t="shared" si="146"/>
        <v>0</v>
      </c>
      <c r="P400" s="273">
        <f t="shared" si="147"/>
        <v>0</v>
      </c>
      <c r="Q400" s="276">
        <f t="shared" si="148"/>
        <v>0</v>
      </c>
      <c r="R400" s="277">
        <f t="shared" si="149"/>
        <v>0</v>
      </c>
      <c r="S400" s="276">
        <f t="shared" si="150"/>
        <v>2</v>
      </c>
      <c r="T400" s="276">
        <f t="shared" si="151"/>
        <v>71.34</v>
      </c>
      <c r="U400" s="276"/>
      <c r="V400" s="249"/>
      <c r="W400" s="278"/>
      <c r="X400" s="279"/>
      <c r="Y400" s="249"/>
      <c r="Z400" s="265"/>
    </row>
    <row r="401" spans="1:26" ht="18" customHeight="1">
      <c r="A401" s="320" t="str">
        <f t="shared" si="153"/>
        <v>CONNECTION AND TERMINATIONAWG#4 COMPRESSION TYPEEA</v>
      </c>
      <c r="B401" s="266">
        <f t="shared" si="141"/>
        <v>358</v>
      </c>
      <c r="C401" s="301" t="s">
        <v>571</v>
      </c>
      <c r="D401" s="251" t="s">
        <v>578</v>
      </c>
      <c r="E401" s="252" t="s">
        <v>175</v>
      </c>
      <c r="F401" s="251">
        <v>4</v>
      </c>
      <c r="G401" s="303">
        <v>5.89</v>
      </c>
      <c r="H401" s="303">
        <v>25.84</v>
      </c>
      <c r="I401" s="251"/>
      <c r="J401" s="272">
        <f t="shared" si="143"/>
        <v>31.73</v>
      </c>
      <c r="K401" s="272">
        <f t="shared" si="144"/>
        <v>126.92</v>
      </c>
      <c r="L401" s="273"/>
      <c r="M401" s="274">
        <f t="shared" si="145"/>
        <v>0</v>
      </c>
      <c r="N401" s="275"/>
      <c r="O401" s="276">
        <f t="shared" si="146"/>
        <v>0</v>
      </c>
      <c r="P401" s="273">
        <f t="shared" si="147"/>
        <v>0</v>
      </c>
      <c r="Q401" s="276">
        <f t="shared" si="148"/>
        <v>0</v>
      </c>
      <c r="R401" s="277">
        <f t="shared" si="149"/>
        <v>0</v>
      </c>
      <c r="S401" s="276">
        <f t="shared" si="150"/>
        <v>4</v>
      </c>
      <c r="T401" s="276">
        <f t="shared" si="151"/>
        <v>126.92</v>
      </c>
      <c r="U401" s="276"/>
      <c r="V401" s="249"/>
      <c r="W401" s="278"/>
      <c r="X401" s="279"/>
      <c r="Y401" s="249"/>
      <c r="Z401" s="265"/>
    </row>
    <row r="402" spans="1:26" ht="18" customHeight="1">
      <c r="A402" s="320" t="str">
        <f t="shared" si="153"/>
        <v>CONNECTION AND TERMINATIONAWG#6 COMPRESSION TYPEEA</v>
      </c>
      <c r="B402" s="266">
        <f t="shared" si="141"/>
        <v>359</v>
      </c>
      <c r="C402" s="301" t="s">
        <v>571</v>
      </c>
      <c r="D402" s="251" t="s">
        <v>579</v>
      </c>
      <c r="E402" s="252" t="s">
        <v>175</v>
      </c>
      <c r="F402" s="251">
        <v>20</v>
      </c>
      <c r="G402" s="303">
        <v>4.82</v>
      </c>
      <c r="H402" s="303">
        <v>22.96</v>
      </c>
      <c r="I402" s="251"/>
      <c r="J402" s="272">
        <f t="shared" si="143"/>
        <v>27.78</v>
      </c>
      <c r="K402" s="272">
        <f t="shared" si="144"/>
        <v>555.6</v>
      </c>
      <c r="L402" s="273"/>
      <c r="M402" s="274">
        <f t="shared" si="145"/>
        <v>0</v>
      </c>
      <c r="N402" s="275"/>
      <c r="O402" s="276">
        <f t="shared" si="146"/>
        <v>0</v>
      </c>
      <c r="P402" s="273">
        <f t="shared" si="147"/>
        <v>0</v>
      </c>
      <c r="Q402" s="276">
        <f t="shared" si="148"/>
        <v>0</v>
      </c>
      <c r="R402" s="277">
        <f t="shared" si="149"/>
        <v>0</v>
      </c>
      <c r="S402" s="276">
        <f t="shared" si="150"/>
        <v>20</v>
      </c>
      <c r="T402" s="276">
        <f t="shared" si="151"/>
        <v>555.6</v>
      </c>
      <c r="U402" s="276"/>
      <c r="V402" s="249">
        <v>0</v>
      </c>
      <c r="W402" s="278">
        <f>M402-V402</f>
        <v>0</v>
      </c>
      <c r="X402" s="279"/>
      <c r="Y402" s="249"/>
      <c r="Z402" s="265"/>
    </row>
    <row r="403" spans="1:26" ht="18" customHeight="1">
      <c r="A403" s="320" t="str">
        <f t="shared" si="153"/>
        <v>CONNECTION AND TERMINATIONAWG#8 COMPRESSION TYPEEA</v>
      </c>
      <c r="B403" s="266">
        <f t="shared" si="141"/>
        <v>360</v>
      </c>
      <c r="C403" s="301" t="s">
        <v>571</v>
      </c>
      <c r="D403" s="251" t="s">
        <v>580</v>
      </c>
      <c r="E403" s="252" t="s">
        <v>175</v>
      </c>
      <c r="F403" s="251">
        <v>4</v>
      </c>
      <c r="G403" s="303">
        <v>4.28</v>
      </c>
      <c r="H403" s="303">
        <v>19.5</v>
      </c>
      <c r="I403" s="251"/>
      <c r="J403" s="272">
        <f t="shared" si="143"/>
        <v>23.78</v>
      </c>
      <c r="K403" s="272">
        <f t="shared" si="144"/>
        <v>95.12</v>
      </c>
      <c r="L403" s="273"/>
      <c r="M403" s="274">
        <f t="shared" si="145"/>
        <v>0</v>
      </c>
      <c r="N403" s="275"/>
      <c r="O403" s="276">
        <f t="shared" si="146"/>
        <v>0</v>
      </c>
      <c r="P403" s="273">
        <f t="shared" si="147"/>
        <v>0</v>
      </c>
      <c r="Q403" s="276">
        <f t="shared" si="148"/>
        <v>0</v>
      </c>
      <c r="R403" s="277">
        <f t="shared" si="149"/>
        <v>0</v>
      </c>
      <c r="S403" s="276">
        <f t="shared" si="150"/>
        <v>4</v>
      </c>
      <c r="T403" s="276">
        <f t="shared" si="151"/>
        <v>95.12</v>
      </c>
      <c r="U403" s="276"/>
      <c r="V403" s="249"/>
      <c r="W403" s="278"/>
      <c r="X403" s="279"/>
      <c r="Y403" s="249"/>
      <c r="Z403" s="265"/>
    </row>
    <row r="404" spans="1:26" ht="18" customHeight="1">
      <c r="A404" s="320" t="str">
        <f t="shared" si="153"/>
        <v>JUNCTION BOX, NEMA-112"W x 12"H x 6"DEA</v>
      </c>
      <c r="B404" s="266">
        <f t="shared" si="141"/>
        <v>361</v>
      </c>
      <c r="C404" s="301" t="s">
        <v>581</v>
      </c>
      <c r="D404" s="251" t="s">
        <v>582</v>
      </c>
      <c r="E404" s="252" t="s">
        <v>175</v>
      </c>
      <c r="F404" s="251">
        <v>4</v>
      </c>
      <c r="G404" s="303">
        <v>45.6</v>
      </c>
      <c r="H404" s="303">
        <v>120.61</v>
      </c>
      <c r="I404" s="251"/>
      <c r="J404" s="272">
        <f t="shared" si="143"/>
        <v>166.21</v>
      </c>
      <c r="K404" s="272">
        <f t="shared" si="144"/>
        <v>664.84</v>
      </c>
      <c r="L404" s="273"/>
      <c r="M404" s="274">
        <f t="shared" si="145"/>
        <v>0</v>
      </c>
      <c r="N404" s="275"/>
      <c r="O404" s="276">
        <f t="shared" si="146"/>
        <v>0</v>
      </c>
      <c r="P404" s="273">
        <f t="shared" si="147"/>
        <v>0</v>
      </c>
      <c r="Q404" s="276">
        <f t="shared" si="148"/>
        <v>0</v>
      </c>
      <c r="R404" s="277">
        <f t="shared" si="149"/>
        <v>0</v>
      </c>
      <c r="S404" s="276">
        <f t="shared" si="150"/>
        <v>4</v>
      </c>
      <c r="T404" s="276">
        <f t="shared" si="151"/>
        <v>664.84</v>
      </c>
      <c r="U404" s="276"/>
      <c r="V404" s="249"/>
      <c r="W404" s="278"/>
      <c r="X404" s="279"/>
      <c r="Y404" s="249"/>
      <c r="Z404" s="265"/>
    </row>
    <row r="405" spans="1:26" ht="18" customHeight="1">
      <c r="A405" s="320" t="str">
        <f t="shared" si="153"/>
        <v>JUNCTION BOX, NEMA-124"W x 24"H x 12"DEA</v>
      </c>
      <c r="B405" s="266">
        <f t="shared" si="141"/>
        <v>362</v>
      </c>
      <c r="C405" s="301" t="s">
        <v>581</v>
      </c>
      <c r="D405" s="251" t="s">
        <v>583</v>
      </c>
      <c r="E405" s="252" t="s">
        <v>175</v>
      </c>
      <c r="F405" s="251">
        <v>2</v>
      </c>
      <c r="G405" s="303">
        <v>139.47999999999999</v>
      </c>
      <c r="H405" s="303">
        <v>229.7</v>
      </c>
      <c r="I405" s="251"/>
      <c r="J405" s="272">
        <f t="shared" si="143"/>
        <v>369.17999999999995</v>
      </c>
      <c r="K405" s="272">
        <f t="shared" si="144"/>
        <v>738.3599999999999</v>
      </c>
      <c r="L405" s="273"/>
      <c r="M405" s="274">
        <f t="shared" si="145"/>
        <v>0</v>
      </c>
      <c r="N405" s="275"/>
      <c r="O405" s="276">
        <f t="shared" si="146"/>
        <v>0</v>
      </c>
      <c r="P405" s="273">
        <f t="shared" si="147"/>
        <v>0</v>
      </c>
      <c r="Q405" s="276">
        <f t="shared" si="148"/>
        <v>0</v>
      </c>
      <c r="R405" s="277">
        <f t="shared" si="149"/>
        <v>0</v>
      </c>
      <c r="S405" s="276">
        <f t="shared" si="150"/>
        <v>2</v>
      </c>
      <c r="T405" s="276">
        <f t="shared" si="151"/>
        <v>738.3599999999999</v>
      </c>
      <c r="U405" s="276"/>
      <c r="V405" s="249"/>
      <c r="W405" s="278"/>
      <c r="X405" s="279"/>
      <c r="Y405" s="249"/>
      <c r="Z405" s="265"/>
    </row>
    <row r="406" spans="1:26" ht="18" customHeight="1">
      <c r="A406" s="320" t="str">
        <f t="shared" si="153"/>
        <v>FIRE BLOCK SEALANT (RED)12 OZEA</v>
      </c>
      <c r="B406" s="266">
        <f t="shared" si="141"/>
        <v>363</v>
      </c>
      <c r="C406" s="301" t="s">
        <v>584</v>
      </c>
      <c r="D406" s="251" t="s">
        <v>585</v>
      </c>
      <c r="E406" s="252" t="s">
        <v>175</v>
      </c>
      <c r="F406" s="251">
        <v>10</v>
      </c>
      <c r="G406" s="303">
        <v>15</v>
      </c>
      <c r="H406" s="303">
        <v>44.78</v>
      </c>
      <c r="I406" s="251"/>
      <c r="J406" s="272">
        <f t="shared" si="143"/>
        <v>59.78</v>
      </c>
      <c r="K406" s="272">
        <f t="shared" si="144"/>
        <v>597.79999999999995</v>
      </c>
      <c r="L406" s="273"/>
      <c r="M406" s="274">
        <f t="shared" si="145"/>
        <v>0</v>
      </c>
      <c r="N406" s="275"/>
      <c r="O406" s="276">
        <f t="shared" si="146"/>
        <v>0</v>
      </c>
      <c r="P406" s="273">
        <f t="shared" si="147"/>
        <v>0</v>
      </c>
      <c r="Q406" s="276">
        <f t="shared" si="148"/>
        <v>0</v>
      </c>
      <c r="R406" s="277">
        <f t="shared" si="149"/>
        <v>0</v>
      </c>
      <c r="S406" s="276">
        <f t="shared" si="150"/>
        <v>10</v>
      </c>
      <c r="T406" s="276">
        <f t="shared" si="151"/>
        <v>597.79999999999995</v>
      </c>
      <c r="U406" s="276"/>
      <c r="V406" s="249">
        <v>3822.15</v>
      </c>
      <c r="W406" s="278">
        <f>M406-V406</f>
        <v>-3822.15</v>
      </c>
      <c r="X406" s="279"/>
      <c r="Y406" s="249"/>
      <c r="Z406" s="265"/>
    </row>
    <row r="407" spans="1:26" ht="18" customHeight="1">
      <c r="A407" s="320" t="str">
        <f t="shared" si="153"/>
        <v>FIRE STOP BARRIER36"Width x 4"HeightSET</v>
      </c>
      <c r="B407" s="266">
        <f t="shared" si="141"/>
        <v>364</v>
      </c>
      <c r="C407" s="301" t="s">
        <v>586</v>
      </c>
      <c r="D407" s="251" t="s">
        <v>587</v>
      </c>
      <c r="E407" s="252" t="s">
        <v>234</v>
      </c>
      <c r="F407" s="251">
        <v>2</v>
      </c>
      <c r="G407" s="303">
        <v>128.74</v>
      </c>
      <c r="H407" s="303">
        <v>229.7</v>
      </c>
      <c r="I407" s="251"/>
      <c r="J407" s="272">
        <f t="shared" ref="J407:J438" si="154">I407+H407+G407</f>
        <v>358.44</v>
      </c>
      <c r="K407" s="272">
        <f t="shared" ref="K407:K438" si="155">J407*F407</f>
        <v>716.88</v>
      </c>
      <c r="L407" s="273"/>
      <c r="M407" s="274">
        <f t="shared" ref="M407:M438" si="156">L407*J407</f>
        <v>0</v>
      </c>
      <c r="N407" s="275"/>
      <c r="O407" s="276">
        <f t="shared" ref="O407:O438" si="157">N407*J407</f>
        <v>0</v>
      </c>
      <c r="P407" s="273">
        <f t="shared" si="147"/>
        <v>0</v>
      </c>
      <c r="Q407" s="276">
        <f t="shared" ref="Q407:Q438" si="158">P407*J407</f>
        <v>0</v>
      </c>
      <c r="R407" s="277">
        <f t="shared" ref="R407:R438" si="159">IFERROR(Q407/K407,0)</f>
        <v>0</v>
      </c>
      <c r="S407" s="276">
        <f t="shared" si="150"/>
        <v>2</v>
      </c>
      <c r="T407" s="276">
        <f t="shared" si="151"/>
        <v>716.88</v>
      </c>
      <c r="U407" s="276"/>
      <c r="V407" s="249"/>
      <c r="W407" s="278"/>
      <c r="X407" s="279"/>
      <c r="Y407" s="249"/>
      <c r="Z407" s="265"/>
    </row>
    <row r="408" spans="1:26" ht="18" customHeight="1">
      <c r="A408" s="320" t="str">
        <f t="shared" si="153"/>
        <v>FIRE STOP BARRIER24"Width x 4"HeightSET</v>
      </c>
      <c r="B408" s="266">
        <f t="shared" si="141"/>
        <v>365</v>
      </c>
      <c r="C408" s="301" t="s">
        <v>586</v>
      </c>
      <c r="D408" s="251" t="s">
        <v>588</v>
      </c>
      <c r="E408" s="252" t="s">
        <v>234</v>
      </c>
      <c r="F408" s="251">
        <v>2</v>
      </c>
      <c r="G408" s="303">
        <v>101.91</v>
      </c>
      <c r="H408" s="303">
        <v>192.92</v>
      </c>
      <c r="I408" s="251"/>
      <c r="J408" s="272">
        <f t="shared" si="154"/>
        <v>294.83</v>
      </c>
      <c r="K408" s="272">
        <f t="shared" si="155"/>
        <v>589.66</v>
      </c>
      <c r="L408" s="273"/>
      <c r="M408" s="274">
        <f t="shared" si="156"/>
        <v>0</v>
      </c>
      <c r="N408" s="275"/>
      <c r="O408" s="276">
        <f t="shared" si="157"/>
        <v>0</v>
      </c>
      <c r="P408" s="273">
        <f t="shared" si="147"/>
        <v>0</v>
      </c>
      <c r="Q408" s="276">
        <f t="shared" si="158"/>
        <v>0</v>
      </c>
      <c r="R408" s="277">
        <f t="shared" si="159"/>
        <v>0</v>
      </c>
      <c r="S408" s="276">
        <f t="shared" si="150"/>
        <v>2</v>
      </c>
      <c r="T408" s="276">
        <f t="shared" si="151"/>
        <v>589.66</v>
      </c>
      <c r="U408" s="276"/>
      <c r="V408" s="249"/>
      <c r="W408" s="278"/>
      <c r="X408" s="279"/>
      <c r="Y408" s="249"/>
      <c r="Z408" s="265"/>
    </row>
    <row r="409" spans="1:26" ht="18" customHeight="1">
      <c r="A409" s="320" t="str">
        <f t="shared" si="153"/>
        <v>Trenching And Backfill (W/Compaction)3' WIDE X 5' DEEPLF</v>
      </c>
      <c r="B409" s="266">
        <f t="shared" si="141"/>
        <v>366</v>
      </c>
      <c r="C409" s="301" t="s">
        <v>589</v>
      </c>
      <c r="D409" s="251" t="s">
        <v>590</v>
      </c>
      <c r="E409" s="252" t="s">
        <v>166</v>
      </c>
      <c r="F409" s="251">
        <v>10</v>
      </c>
      <c r="G409" s="303">
        <v>4.28</v>
      </c>
      <c r="H409" s="303">
        <v>97</v>
      </c>
      <c r="I409" s="251"/>
      <c r="J409" s="272">
        <f t="shared" si="154"/>
        <v>101.28</v>
      </c>
      <c r="K409" s="272">
        <f t="shared" si="155"/>
        <v>1012.8</v>
      </c>
      <c r="L409" s="273"/>
      <c r="M409" s="274">
        <f t="shared" si="156"/>
        <v>0</v>
      </c>
      <c r="N409" s="275"/>
      <c r="O409" s="276">
        <f t="shared" si="157"/>
        <v>0</v>
      </c>
      <c r="P409" s="273">
        <f t="shared" si="147"/>
        <v>0</v>
      </c>
      <c r="Q409" s="276">
        <f t="shared" si="158"/>
        <v>0</v>
      </c>
      <c r="R409" s="277">
        <f t="shared" si="159"/>
        <v>0</v>
      </c>
      <c r="S409" s="276">
        <f t="shared" si="150"/>
        <v>10</v>
      </c>
      <c r="T409" s="276">
        <f t="shared" si="151"/>
        <v>1012.8</v>
      </c>
      <c r="U409" s="276"/>
      <c r="V409" s="249"/>
      <c r="W409" s="278"/>
      <c r="X409" s="279"/>
      <c r="Y409" s="249"/>
      <c r="Z409" s="265"/>
    </row>
    <row r="410" spans="1:26" ht="18" customHeight="1">
      <c r="B410" s="266">
        <f t="shared" si="141"/>
        <v>367</v>
      </c>
      <c r="C410" s="301"/>
      <c r="D410" s="251"/>
      <c r="E410" s="252"/>
      <c r="F410" s="251"/>
      <c r="G410" s="303"/>
      <c r="H410" s="303"/>
      <c r="I410" s="251"/>
      <c r="J410" s="272"/>
      <c r="K410" s="272"/>
      <c r="L410" s="273"/>
      <c r="M410" s="274"/>
      <c r="N410" s="275"/>
      <c r="O410" s="276"/>
      <c r="P410" s="273"/>
      <c r="Q410" s="276"/>
      <c r="R410" s="277"/>
      <c r="S410" s="276"/>
      <c r="T410" s="276"/>
      <c r="U410" s="276"/>
      <c r="V410" s="249">
        <v>0</v>
      </c>
      <c r="W410" s="278">
        <f>M410-V410</f>
        <v>0</v>
      </c>
      <c r="X410" s="279"/>
      <c r="Y410" s="249"/>
      <c r="Z410" s="265"/>
    </row>
    <row r="411" spans="1:26" s="304" customFormat="1" ht="18" customHeight="1">
      <c r="B411" s="281">
        <f t="shared" si="141"/>
        <v>368</v>
      </c>
      <c r="C411" s="305" t="s">
        <v>171</v>
      </c>
      <c r="D411" s="306"/>
      <c r="E411" s="307"/>
      <c r="F411" s="306"/>
      <c r="G411" s="308"/>
      <c r="H411" s="308"/>
      <c r="I411" s="306"/>
      <c r="J411" s="287"/>
      <c r="K411" s="309">
        <f>SUM(K343:K410)</f>
        <v>146204.13999999998</v>
      </c>
      <c r="L411" s="288"/>
      <c r="M411" s="290">
        <f>SUM(M343:M410)</f>
        <v>0</v>
      </c>
      <c r="N411" s="288"/>
      <c r="O411" s="290">
        <f>SUM(O343:O410)</f>
        <v>68365.84</v>
      </c>
      <c r="P411" s="288"/>
      <c r="Q411" s="290">
        <f>SUM(Q343:Q410)</f>
        <v>68365.84</v>
      </c>
      <c r="R411" s="289">
        <f>IFERROR(+Q411/K411,0)</f>
        <v>0.46760536329545799</v>
      </c>
      <c r="S411" s="290"/>
      <c r="T411" s="290">
        <f>SUM(T343:T410)</f>
        <v>77838.299999999988</v>
      </c>
      <c r="U411" s="290"/>
      <c r="V411" s="249">
        <v>347280.15765000001</v>
      </c>
      <c r="W411" s="278">
        <f>M411-V411</f>
        <v>-347280.15765000001</v>
      </c>
      <c r="X411" s="279"/>
      <c r="Y411" s="249"/>
      <c r="Z411" s="265"/>
    </row>
    <row r="412" spans="1:26" s="217" customFormat="1" ht="18" customHeight="1">
      <c r="B412" s="260">
        <f t="shared" si="141"/>
        <v>369</v>
      </c>
      <c r="C412" s="291" t="s">
        <v>591</v>
      </c>
      <c r="D412" s="310"/>
      <c r="E412" s="293"/>
      <c r="F412" s="310"/>
      <c r="G412" s="311"/>
      <c r="H412" s="311"/>
      <c r="I412" s="310"/>
      <c r="J412" s="295"/>
      <c r="K412" s="295"/>
      <c r="L412" s="299"/>
      <c r="M412" s="296"/>
      <c r="N412" s="297"/>
      <c r="O412" s="298"/>
      <c r="P412" s="299"/>
      <c r="Q412" s="298"/>
      <c r="R412" s="300"/>
      <c r="S412" s="298"/>
      <c r="T412" s="298"/>
      <c r="U412" s="298"/>
      <c r="V412" s="249"/>
      <c r="W412" s="278">
        <f>M412-V412</f>
        <v>0</v>
      </c>
      <c r="X412" s="279"/>
      <c r="Y412" s="249"/>
      <c r="Z412" s="265"/>
    </row>
    <row r="413" spans="1:26" ht="18" customHeight="1">
      <c r="B413" s="266">
        <f t="shared" si="141"/>
        <v>370</v>
      </c>
      <c r="C413" s="301" t="s">
        <v>592</v>
      </c>
      <c r="D413" s="251" t="s">
        <v>593</v>
      </c>
      <c r="E413" s="252" t="s">
        <v>175</v>
      </c>
      <c r="F413" s="251">
        <v>15</v>
      </c>
      <c r="G413" s="303">
        <v>139.47999999999999</v>
      </c>
      <c r="H413" s="303">
        <v>281.37</v>
      </c>
      <c r="I413" s="251"/>
      <c r="J413" s="272">
        <f t="shared" ref="J413:J437" si="160">I413+H413+G413</f>
        <v>420.85</v>
      </c>
      <c r="K413" s="272">
        <f t="shared" ref="K413:K437" si="161">J413*F413</f>
        <v>6312.75</v>
      </c>
      <c r="L413" s="273"/>
      <c r="M413" s="274">
        <f t="shared" ref="M413:M437" si="162">L413*J413</f>
        <v>0</v>
      </c>
      <c r="N413" s="275"/>
      <c r="O413" s="276">
        <f t="shared" ref="O413:O437" si="163">N413*J413</f>
        <v>0</v>
      </c>
      <c r="P413" s="273">
        <f t="shared" ref="P413:P437" si="164">N413+L413</f>
        <v>0</v>
      </c>
      <c r="Q413" s="276">
        <f t="shared" ref="Q413:Q437" si="165">P413*J413</f>
        <v>0</v>
      </c>
      <c r="R413" s="277">
        <f t="shared" ref="R413:R437" si="166">IFERROR(Q413/K413,0)</f>
        <v>0</v>
      </c>
      <c r="S413" s="276">
        <f t="shared" ref="S413:S437" si="167">F413-P413</f>
        <v>15</v>
      </c>
      <c r="T413" s="276">
        <f t="shared" ref="T413:T437" si="168">K413-Q413</f>
        <v>6312.75</v>
      </c>
      <c r="U413" s="276"/>
      <c r="V413" s="249"/>
      <c r="W413" s="278"/>
      <c r="X413" s="279"/>
      <c r="Y413" s="249"/>
      <c r="Z413" s="265"/>
    </row>
    <row r="414" spans="1:26" ht="18" customHeight="1">
      <c r="B414" s="266">
        <f t="shared" si="141"/>
        <v>371</v>
      </c>
      <c r="C414" s="301" t="s">
        <v>592</v>
      </c>
      <c r="D414" s="251" t="s">
        <v>594</v>
      </c>
      <c r="E414" s="252" t="s">
        <v>175</v>
      </c>
      <c r="F414" s="251">
        <v>5</v>
      </c>
      <c r="G414" s="303">
        <v>225.29</v>
      </c>
      <c r="H414" s="303">
        <v>356.06</v>
      </c>
      <c r="I414" s="251"/>
      <c r="J414" s="272">
        <f t="shared" si="160"/>
        <v>581.35</v>
      </c>
      <c r="K414" s="272">
        <f t="shared" si="161"/>
        <v>2906.75</v>
      </c>
      <c r="L414" s="273"/>
      <c r="M414" s="274">
        <f t="shared" si="162"/>
        <v>0</v>
      </c>
      <c r="N414" s="275"/>
      <c r="O414" s="276">
        <f t="shared" si="163"/>
        <v>0</v>
      </c>
      <c r="P414" s="273">
        <f t="shared" si="164"/>
        <v>0</v>
      </c>
      <c r="Q414" s="276">
        <f t="shared" si="165"/>
        <v>0</v>
      </c>
      <c r="R414" s="277">
        <f t="shared" si="166"/>
        <v>0</v>
      </c>
      <c r="S414" s="276">
        <f t="shared" si="167"/>
        <v>5</v>
      </c>
      <c r="T414" s="276">
        <f t="shared" si="168"/>
        <v>2906.75</v>
      </c>
      <c r="U414" s="276"/>
      <c r="V414" s="249"/>
      <c r="W414" s="278"/>
      <c r="X414" s="279"/>
      <c r="Y414" s="249"/>
      <c r="Z414" s="313"/>
    </row>
    <row r="415" spans="1:26" ht="18" customHeight="1">
      <c r="B415" s="266">
        <f t="shared" si="141"/>
        <v>372</v>
      </c>
      <c r="C415" s="301" t="s">
        <v>592</v>
      </c>
      <c r="D415" s="251" t="s">
        <v>595</v>
      </c>
      <c r="E415" s="252" t="s">
        <v>175</v>
      </c>
      <c r="F415" s="251">
        <v>4</v>
      </c>
      <c r="G415" s="303">
        <v>434.66</v>
      </c>
      <c r="H415" s="303">
        <v>546.67999999999995</v>
      </c>
      <c r="I415" s="251"/>
      <c r="J415" s="272">
        <f t="shared" si="160"/>
        <v>981.33999999999992</v>
      </c>
      <c r="K415" s="272">
        <f t="shared" si="161"/>
        <v>3925.3599999999997</v>
      </c>
      <c r="L415" s="273"/>
      <c r="M415" s="274">
        <f t="shared" si="162"/>
        <v>0</v>
      </c>
      <c r="N415" s="275"/>
      <c r="O415" s="276">
        <f t="shared" si="163"/>
        <v>0</v>
      </c>
      <c r="P415" s="273">
        <f t="shared" si="164"/>
        <v>0</v>
      </c>
      <c r="Q415" s="276">
        <f t="shared" si="165"/>
        <v>0</v>
      </c>
      <c r="R415" s="277">
        <f t="shared" si="166"/>
        <v>0</v>
      </c>
      <c r="S415" s="276">
        <f t="shared" si="167"/>
        <v>4</v>
      </c>
      <c r="T415" s="276">
        <f t="shared" si="168"/>
        <v>3925.3599999999997</v>
      </c>
      <c r="U415" s="276"/>
      <c r="V415" s="249"/>
      <c r="W415" s="278"/>
      <c r="X415" s="279"/>
      <c r="Y415" s="249"/>
      <c r="Z415" s="265"/>
    </row>
    <row r="416" spans="1:26" ht="18" customHeight="1">
      <c r="B416" s="321">
        <f t="shared" si="141"/>
        <v>373</v>
      </c>
      <c r="C416" s="301" t="s">
        <v>549</v>
      </c>
      <c r="D416" s="251" t="s">
        <v>551</v>
      </c>
      <c r="E416" s="252" t="s">
        <v>166</v>
      </c>
      <c r="F416" s="251">
        <v>550</v>
      </c>
      <c r="G416" s="303">
        <v>2.78</v>
      </c>
      <c r="H416" s="303">
        <v>10.28</v>
      </c>
      <c r="I416" s="251"/>
      <c r="J416" s="272">
        <f t="shared" si="160"/>
        <v>13.059999999999999</v>
      </c>
      <c r="K416" s="272">
        <f t="shared" si="161"/>
        <v>7182.9999999999991</v>
      </c>
      <c r="L416" s="273"/>
      <c r="M416" s="274">
        <f t="shared" si="162"/>
        <v>0</v>
      </c>
      <c r="N416" s="275"/>
      <c r="O416" s="276">
        <f t="shared" si="163"/>
        <v>0</v>
      </c>
      <c r="P416" s="273">
        <f t="shared" si="164"/>
        <v>0</v>
      </c>
      <c r="Q416" s="276">
        <f t="shared" si="165"/>
        <v>0</v>
      </c>
      <c r="R416" s="277">
        <f t="shared" si="166"/>
        <v>0</v>
      </c>
      <c r="S416" s="276">
        <f t="shared" si="167"/>
        <v>550</v>
      </c>
      <c r="T416" s="276">
        <f t="shared" si="168"/>
        <v>7182.9999999999991</v>
      </c>
      <c r="U416" s="276"/>
      <c r="V416" s="249"/>
      <c r="W416" s="278"/>
      <c r="X416" s="279"/>
      <c r="Y416" s="249"/>
      <c r="Z416" s="265"/>
    </row>
    <row r="417" spans="2:26" ht="18" customHeight="1">
      <c r="B417" s="266">
        <f t="shared" si="141"/>
        <v>374</v>
      </c>
      <c r="C417" s="301" t="s">
        <v>549</v>
      </c>
      <c r="D417" s="251" t="s">
        <v>552</v>
      </c>
      <c r="E417" s="252" t="s">
        <v>166</v>
      </c>
      <c r="F417" s="251">
        <v>550</v>
      </c>
      <c r="G417" s="303">
        <v>2.0299999999999998</v>
      </c>
      <c r="H417" s="303">
        <v>9.0500000000000007</v>
      </c>
      <c r="I417" s="251"/>
      <c r="J417" s="272">
        <f t="shared" si="160"/>
        <v>11.08</v>
      </c>
      <c r="K417" s="272">
        <f t="shared" si="161"/>
        <v>6094</v>
      </c>
      <c r="L417" s="273"/>
      <c r="M417" s="274">
        <f t="shared" si="162"/>
        <v>0</v>
      </c>
      <c r="N417" s="275"/>
      <c r="O417" s="276">
        <f t="shared" si="163"/>
        <v>0</v>
      </c>
      <c r="P417" s="273">
        <f t="shared" si="164"/>
        <v>0</v>
      </c>
      <c r="Q417" s="276">
        <f t="shared" si="165"/>
        <v>0</v>
      </c>
      <c r="R417" s="277">
        <f t="shared" si="166"/>
        <v>0</v>
      </c>
      <c r="S417" s="276">
        <f t="shared" si="167"/>
        <v>550</v>
      </c>
      <c r="T417" s="276">
        <f t="shared" si="168"/>
        <v>6094</v>
      </c>
      <c r="U417" s="276"/>
      <c r="V417" s="249"/>
      <c r="W417" s="278"/>
      <c r="X417" s="279"/>
      <c r="Y417" s="249"/>
      <c r="Z417" s="265"/>
    </row>
    <row r="418" spans="2:26" ht="18" customHeight="1">
      <c r="B418" s="266">
        <f t="shared" si="141"/>
        <v>375</v>
      </c>
      <c r="C418" s="301" t="s">
        <v>549</v>
      </c>
      <c r="D418" s="251" t="s">
        <v>553</v>
      </c>
      <c r="E418" s="252" t="s">
        <v>166</v>
      </c>
      <c r="F418" s="251">
        <v>1100</v>
      </c>
      <c r="G418" s="303">
        <v>1.17</v>
      </c>
      <c r="H418" s="303">
        <v>7.1</v>
      </c>
      <c r="I418" s="251"/>
      <c r="J418" s="272">
        <f t="shared" si="160"/>
        <v>8.27</v>
      </c>
      <c r="K418" s="272">
        <f t="shared" si="161"/>
        <v>9097</v>
      </c>
      <c r="L418" s="273"/>
      <c r="M418" s="274">
        <f t="shared" si="162"/>
        <v>0</v>
      </c>
      <c r="N418" s="275"/>
      <c r="O418" s="276">
        <f t="shared" si="163"/>
        <v>0</v>
      </c>
      <c r="P418" s="273">
        <f t="shared" si="164"/>
        <v>0</v>
      </c>
      <c r="Q418" s="276">
        <f t="shared" si="165"/>
        <v>0</v>
      </c>
      <c r="R418" s="277">
        <f t="shared" si="166"/>
        <v>0</v>
      </c>
      <c r="S418" s="276">
        <f t="shared" si="167"/>
        <v>1100</v>
      </c>
      <c r="T418" s="276">
        <f t="shared" si="168"/>
        <v>9097</v>
      </c>
      <c r="U418" s="276"/>
      <c r="V418" s="249"/>
      <c r="W418" s="278"/>
      <c r="X418" s="279"/>
      <c r="Y418" s="249"/>
      <c r="Z418" s="265"/>
    </row>
    <row r="419" spans="2:26" ht="18" customHeight="1">
      <c r="B419" s="266">
        <f t="shared" si="141"/>
        <v>376</v>
      </c>
      <c r="C419" s="301" t="s">
        <v>549</v>
      </c>
      <c r="D419" s="251" t="s">
        <v>596</v>
      </c>
      <c r="E419" s="252" t="s">
        <v>166</v>
      </c>
      <c r="F419" s="251">
        <v>2250</v>
      </c>
      <c r="G419" s="303">
        <v>0.85</v>
      </c>
      <c r="H419" s="303">
        <v>6.18</v>
      </c>
      <c r="I419" s="251"/>
      <c r="J419" s="272">
        <f t="shared" si="160"/>
        <v>7.0299999999999994</v>
      </c>
      <c r="K419" s="272">
        <f t="shared" si="161"/>
        <v>15817.499999999998</v>
      </c>
      <c r="L419" s="273"/>
      <c r="M419" s="274">
        <f t="shared" si="162"/>
        <v>0</v>
      </c>
      <c r="N419" s="275"/>
      <c r="O419" s="276">
        <f t="shared" si="163"/>
        <v>0</v>
      </c>
      <c r="P419" s="273">
        <f t="shared" si="164"/>
        <v>0</v>
      </c>
      <c r="Q419" s="276">
        <f t="shared" si="165"/>
        <v>0</v>
      </c>
      <c r="R419" s="277">
        <f t="shared" si="166"/>
        <v>0</v>
      </c>
      <c r="S419" s="276">
        <f t="shared" si="167"/>
        <v>2250</v>
      </c>
      <c r="T419" s="276">
        <f t="shared" si="168"/>
        <v>15817.499999999998</v>
      </c>
      <c r="U419" s="276"/>
      <c r="V419" s="249"/>
      <c r="W419" s="278"/>
      <c r="X419" s="279"/>
      <c r="Y419" s="249"/>
      <c r="Z419" s="265"/>
    </row>
    <row r="420" spans="2:26" ht="18" customHeight="1">
      <c r="B420" s="266">
        <f t="shared" si="141"/>
        <v>377</v>
      </c>
      <c r="C420" s="301" t="s">
        <v>554</v>
      </c>
      <c r="D420" s="251" t="s">
        <v>415</v>
      </c>
      <c r="E420" s="252" t="s">
        <v>234</v>
      </c>
      <c r="F420" s="251">
        <v>110</v>
      </c>
      <c r="G420" s="303">
        <v>9.66</v>
      </c>
      <c r="H420" s="303">
        <v>33.299999999999997</v>
      </c>
      <c r="I420" s="251"/>
      <c r="J420" s="272">
        <f t="shared" si="160"/>
        <v>42.959999999999994</v>
      </c>
      <c r="K420" s="272">
        <f t="shared" si="161"/>
        <v>4725.5999999999995</v>
      </c>
      <c r="L420" s="273"/>
      <c r="M420" s="274">
        <f t="shared" si="162"/>
        <v>0</v>
      </c>
      <c r="N420" s="275"/>
      <c r="O420" s="276">
        <f t="shared" si="163"/>
        <v>0</v>
      </c>
      <c r="P420" s="273">
        <f t="shared" si="164"/>
        <v>0</v>
      </c>
      <c r="Q420" s="276">
        <f t="shared" si="165"/>
        <v>0</v>
      </c>
      <c r="R420" s="277">
        <f t="shared" si="166"/>
        <v>0</v>
      </c>
      <c r="S420" s="276">
        <f t="shared" si="167"/>
        <v>110</v>
      </c>
      <c r="T420" s="276">
        <f t="shared" si="168"/>
        <v>4725.5999999999995</v>
      </c>
      <c r="U420" s="276"/>
      <c r="V420" s="249">
        <v>0</v>
      </c>
      <c r="W420" s="278">
        <f>M420-V420</f>
        <v>0</v>
      </c>
      <c r="X420" s="279"/>
      <c r="Y420" s="249"/>
      <c r="Z420" s="265"/>
    </row>
    <row r="421" spans="2:26" ht="18" customHeight="1">
      <c r="B421" s="266">
        <f t="shared" si="141"/>
        <v>378</v>
      </c>
      <c r="C421" s="301" t="s">
        <v>554</v>
      </c>
      <c r="D421" s="251" t="s">
        <v>555</v>
      </c>
      <c r="E421" s="252" t="s">
        <v>234</v>
      </c>
      <c r="F421" s="251">
        <v>110</v>
      </c>
      <c r="G421" s="303">
        <v>8.0399999999999991</v>
      </c>
      <c r="H421" s="303">
        <v>30.99</v>
      </c>
      <c r="I421" s="251"/>
      <c r="J421" s="272">
        <f t="shared" si="160"/>
        <v>39.03</v>
      </c>
      <c r="K421" s="272">
        <f t="shared" si="161"/>
        <v>4293.3</v>
      </c>
      <c r="L421" s="273"/>
      <c r="M421" s="274">
        <f t="shared" si="162"/>
        <v>0</v>
      </c>
      <c r="N421" s="275"/>
      <c r="O421" s="276">
        <f t="shared" si="163"/>
        <v>0</v>
      </c>
      <c r="P421" s="273">
        <f t="shared" si="164"/>
        <v>0</v>
      </c>
      <c r="Q421" s="276">
        <f t="shared" si="165"/>
        <v>0</v>
      </c>
      <c r="R421" s="277">
        <f t="shared" si="166"/>
        <v>0</v>
      </c>
      <c r="S421" s="276">
        <f t="shared" si="167"/>
        <v>110</v>
      </c>
      <c r="T421" s="276">
        <f t="shared" si="168"/>
        <v>4293.3</v>
      </c>
      <c r="U421" s="276"/>
      <c r="V421" s="249"/>
      <c r="W421" s="278"/>
      <c r="X421" s="279"/>
      <c r="Y421" s="249"/>
      <c r="Z421" s="265"/>
    </row>
    <row r="422" spans="2:26" ht="18" customHeight="1">
      <c r="B422" s="266">
        <f t="shared" si="141"/>
        <v>379</v>
      </c>
      <c r="C422" s="301" t="s">
        <v>554</v>
      </c>
      <c r="D422" s="251" t="s">
        <v>413</v>
      </c>
      <c r="E422" s="252" t="s">
        <v>234</v>
      </c>
      <c r="F422" s="251">
        <v>220</v>
      </c>
      <c r="G422" s="303">
        <v>6.43</v>
      </c>
      <c r="H422" s="303">
        <v>28.14</v>
      </c>
      <c r="I422" s="251"/>
      <c r="J422" s="272">
        <f t="shared" si="160"/>
        <v>34.57</v>
      </c>
      <c r="K422" s="272">
        <f t="shared" si="161"/>
        <v>7605.4</v>
      </c>
      <c r="L422" s="273"/>
      <c r="M422" s="274">
        <f t="shared" si="162"/>
        <v>0</v>
      </c>
      <c r="N422" s="275"/>
      <c r="O422" s="276">
        <f t="shared" si="163"/>
        <v>0</v>
      </c>
      <c r="P422" s="273">
        <f t="shared" si="164"/>
        <v>0</v>
      </c>
      <c r="Q422" s="276">
        <f t="shared" si="165"/>
        <v>0</v>
      </c>
      <c r="R422" s="277">
        <f t="shared" si="166"/>
        <v>0</v>
      </c>
      <c r="S422" s="276">
        <f t="shared" si="167"/>
        <v>220</v>
      </c>
      <c r="T422" s="276">
        <f t="shared" si="168"/>
        <v>7605.4</v>
      </c>
      <c r="U422" s="276"/>
      <c r="V422" s="249"/>
      <c r="W422" s="278"/>
      <c r="X422" s="279"/>
      <c r="Y422" s="249"/>
      <c r="Z422" s="265"/>
    </row>
    <row r="423" spans="2:26" ht="18" customHeight="1">
      <c r="B423" s="266">
        <f t="shared" si="141"/>
        <v>380</v>
      </c>
      <c r="C423" s="301" t="s">
        <v>554</v>
      </c>
      <c r="D423" s="251" t="s">
        <v>597</v>
      </c>
      <c r="E423" s="252" t="s">
        <v>234</v>
      </c>
      <c r="F423" s="251">
        <v>450</v>
      </c>
      <c r="G423" s="303">
        <v>5.36</v>
      </c>
      <c r="H423" s="303">
        <v>25.24</v>
      </c>
      <c r="I423" s="251"/>
      <c r="J423" s="272">
        <f t="shared" si="160"/>
        <v>30.599999999999998</v>
      </c>
      <c r="K423" s="272">
        <f t="shared" si="161"/>
        <v>13769.999999999998</v>
      </c>
      <c r="L423" s="273"/>
      <c r="M423" s="274">
        <f t="shared" si="162"/>
        <v>0</v>
      </c>
      <c r="N423" s="275"/>
      <c r="O423" s="276">
        <f t="shared" si="163"/>
        <v>0</v>
      </c>
      <c r="P423" s="273">
        <f t="shared" si="164"/>
        <v>0</v>
      </c>
      <c r="Q423" s="276">
        <f t="shared" si="165"/>
        <v>0</v>
      </c>
      <c r="R423" s="277">
        <f t="shared" si="166"/>
        <v>0</v>
      </c>
      <c r="S423" s="276">
        <f t="shared" si="167"/>
        <v>450</v>
      </c>
      <c r="T423" s="276">
        <f t="shared" si="168"/>
        <v>13769.999999999998</v>
      </c>
      <c r="U423" s="276"/>
      <c r="V423" s="249"/>
      <c r="W423" s="278"/>
      <c r="X423" s="279"/>
      <c r="Y423" s="249"/>
      <c r="Z423" s="265"/>
    </row>
    <row r="424" spans="2:26" ht="18" customHeight="1">
      <c r="B424" s="266">
        <f t="shared" si="141"/>
        <v>381</v>
      </c>
      <c r="C424" s="301" t="s">
        <v>559</v>
      </c>
      <c r="D424" s="251" t="s">
        <v>563</v>
      </c>
      <c r="E424" s="252" t="s">
        <v>166</v>
      </c>
      <c r="F424" s="251">
        <v>372</v>
      </c>
      <c r="G424" s="303">
        <v>1.7</v>
      </c>
      <c r="H424" s="303">
        <v>2.84</v>
      </c>
      <c r="I424" s="251"/>
      <c r="J424" s="272">
        <f t="shared" si="160"/>
        <v>4.54</v>
      </c>
      <c r="K424" s="272">
        <f t="shared" si="161"/>
        <v>1688.88</v>
      </c>
      <c r="L424" s="273"/>
      <c r="M424" s="274">
        <f t="shared" si="162"/>
        <v>0</v>
      </c>
      <c r="N424" s="275"/>
      <c r="O424" s="276">
        <f t="shared" si="163"/>
        <v>0</v>
      </c>
      <c r="P424" s="273">
        <f t="shared" si="164"/>
        <v>0</v>
      </c>
      <c r="Q424" s="276">
        <f t="shared" si="165"/>
        <v>0</v>
      </c>
      <c r="R424" s="277">
        <f t="shared" si="166"/>
        <v>0</v>
      </c>
      <c r="S424" s="276">
        <f t="shared" si="167"/>
        <v>372</v>
      </c>
      <c r="T424" s="276">
        <f t="shared" si="168"/>
        <v>1688.88</v>
      </c>
      <c r="U424" s="276"/>
      <c r="V424" s="249"/>
      <c r="W424" s="278"/>
      <c r="X424" s="279"/>
      <c r="Y424" s="249"/>
      <c r="Z424" s="265"/>
    </row>
    <row r="425" spans="2:26" ht="18" customHeight="1">
      <c r="B425" s="266">
        <f t="shared" si="141"/>
        <v>382</v>
      </c>
      <c r="C425" s="301" t="s">
        <v>559</v>
      </c>
      <c r="D425" s="251" t="s">
        <v>565</v>
      </c>
      <c r="E425" s="252" t="s">
        <v>166</v>
      </c>
      <c r="F425" s="251">
        <v>3720</v>
      </c>
      <c r="G425" s="303">
        <v>0.57999999999999996</v>
      </c>
      <c r="H425" s="303">
        <v>1.53</v>
      </c>
      <c r="I425" s="251"/>
      <c r="J425" s="272">
        <f t="shared" si="160"/>
        <v>2.11</v>
      </c>
      <c r="K425" s="272">
        <f t="shared" si="161"/>
        <v>7849.2</v>
      </c>
      <c r="L425" s="273"/>
      <c r="M425" s="274">
        <f t="shared" si="162"/>
        <v>0</v>
      </c>
      <c r="N425" s="275"/>
      <c r="O425" s="276">
        <f t="shared" si="163"/>
        <v>0</v>
      </c>
      <c r="P425" s="273">
        <f t="shared" si="164"/>
        <v>0</v>
      </c>
      <c r="Q425" s="276">
        <f t="shared" si="165"/>
        <v>0</v>
      </c>
      <c r="R425" s="277">
        <f t="shared" si="166"/>
        <v>0</v>
      </c>
      <c r="S425" s="276">
        <f t="shared" si="167"/>
        <v>3720</v>
      </c>
      <c r="T425" s="276">
        <f t="shared" si="168"/>
        <v>7849.2</v>
      </c>
      <c r="U425" s="276"/>
      <c r="V425" s="249"/>
      <c r="W425" s="278"/>
      <c r="X425" s="279"/>
      <c r="Y425" s="249"/>
      <c r="Z425" s="265"/>
    </row>
    <row r="426" spans="2:26" ht="18" customHeight="1">
      <c r="B426" s="266">
        <f t="shared" si="141"/>
        <v>383</v>
      </c>
      <c r="C426" s="301" t="s">
        <v>566</v>
      </c>
      <c r="D426" s="251" t="s">
        <v>569</v>
      </c>
      <c r="E426" s="252" t="s">
        <v>166</v>
      </c>
      <c r="F426" s="251">
        <v>124</v>
      </c>
      <c r="G426" s="303">
        <v>0.57999999999999996</v>
      </c>
      <c r="H426" s="303">
        <v>1.53</v>
      </c>
      <c r="I426" s="251"/>
      <c r="J426" s="272">
        <f t="shared" si="160"/>
        <v>2.11</v>
      </c>
      <c r="K426" s="272">
        <f t="shared" si="161"/>
        <v>261.64</v>
      </c>
      <c r="L426" s="273"/>
      <c r="M426" s="274">
        <f t="shared" si="162"/>
        <v>0</v>
      </c>
      <c r="N426" s="275"/>
      <c r="O426" s="276">
        <f t="shared" si="163"/>
        <v>0</v>
      </c>
      <c r="P426" s="273">
        <f t="shared" si="164"/>
        <v>0</v>
      </c>
      <c r="Q426" s="276">
        <f t="shared" si="165"/>
        <v>0</v>
      </c>
      <c r="R426" s="277">
        <f t="shared" si="166"/>
        <v>0</v>
      </c>
      <c r="S426" s="276">
        <f t="shared" si="167"/>
        <v>124</v>
      </c>
      <c r="T426" s="276">
        <f t="shared" si="168"/>
        <v>261.64</v>
      </c>
      <c r="U426" s="276"/>
      <c r="V426" s="249"/>
      <c r="W426" s="278"/>
      <c r="X426" s="279"/>
      <c r="Y426" s="249"/>
      <c r="Z426" s="265"/>
    </row>
    <row r="427" spans="2:26" ht="18" customHeight="1">
      <c r="B427" s="266">
        <f t="shared" si="141"/>
        <v>384</v>
      </c>
      <c r="C427" s="301" t="s">
        <v>566</v>
      </c>
      <c r="D427" s="251" t="s">
        <v>570</v>
      </c>
      <c r="E427" s="252" t="s">
        <v>166</v>
      </c>
      <c r="F427" s="251">
        <v>6700</v>
      </c>
      <c r="G427" s="303">
        <v>0.39</v>
      </c>
      <c r="H427" s="303">
        <v>1.42</v>
      </c>
      <c r="I427" s="251"/>
      <c r="J427" s="272">
        <f t="shared" si="160"/>
        <v>1.81</v>
      </c>
      <c r="K427" s="272">
        <f t="shared" si="161"/>
        <v>12127</v>
      </c>
      <c r="L427" s="273"/>
      <c r="M427" s="274">
        <f t="shared" si="162"/>
        <v>0</v>
      </c>
      <c r="N427" s="275"/>
      <c r="O427" s="276">
        <f t="shared" si="163"/>
        <v>0</v>
      </c>
      <c r="P427" s="273">
        <f t="shared" si="164"/>
        <v>0</v>
      </c>
      <c r="Q427" s="276">
        <f t="shared" si="165"/>
        <v>0</v>
      </c>
      <c r="R427" s="277">
        <f t="shared" si="166"/>
        <v>0</v>
      </c>
      <c r="S427" s="276">
        <f t="shared" si="167"/>
        <v>6700</v>
      </c>
      <c r="T427" s="276">
        <f t="shared" si="168"/>
        <v>12127</v>
      </c>
      <c r="U427" s="276"/>
      <c r="V427" s="249"/>
      <c r="W427" s="278"/>
      <c r="X427" s="279"/>
      <c r="Y427" s="249"/>
      <c r="Z427" s="265"/>
    </row>
    <row r="428" spans="2:26" ht="18" customHeight="1">
      <c r="B428" s="266">
        <f t="shared" ref="B428:B489" si="169">B427+1</f>
        <v>385</v>
      </c>
      <c r="C428" s="301" t="s">
        <v>598</v>
      </c>
      <c r="D428" s="251" t="s">
        <v>599</v>
      </c>
      <c r="E428" s="252" t="s">
        <v>166</v>
      </c>
      <c r="F428" s="251">
        <v>1340</v>
      </c>
      <c r="G428" s="303">
        <v>2.89</v>
      </c>
      <c r="H428" s="303">
        <v>3.38</v>
      </c>
      <c r="I428" s="251"/>
      <c r="J428" s="272">
        <f t="shared" si="160"/>
        <v>6.27</v>
      </c>
      <c r="K428" s="272">
        <f t="shared" si="161"/>
        <v>8401.7999999999993</v>
      </c>
      <c r="L428" s="273"/>
      <c r="M428" s="274">
        <f t="shared" si="162"/>
        <v>0</v>
      </c>
      <c r="N428" s="275"/>
      <c r="O428" s="276">
        <f t="shared" si="163"/>
        <v>0</v>
      </c>
      <c r="P428" s="273">
        <f t="shared" si="164"/>
        <v>0</v>
      </c>
      <c r="Q428" s="276">
        <f t="shared" si="165"/>
        <v>0</v>
      </c>
      <c r="R428" s="277">
        <f t="shared" si="166"/>
        <v>0</v>
      </c>
      <c r="S428" s="276">
        <f t="shared" si="167"/>
        <v>1340</v>
      </c>
      <c r="T428" s="276">
        <f t="shared" si="168"/>
        <v>8401.7999999999993</v>
      </c>
      <c r="U428" s="276"/>
      <c r="V428" s="249"/>
      <c r="W428" s="278"/>
      <c r="X428" s="279"/>
      <c r="Y428" s="249"/>
      <c r="Z428" s="265"/>
    </row>
    <row r="429" spans="2:26" ht="18" customHeight="1">
      <c r="B429" s="266">
        <f t="shared" si="169"/>
        <v>386</v>
      </c>
      <c r="C429" s="301" t="s">
        <v>598</v>
      </c>
      <c r="D429" s="251" t="s">
        <v>600</v>
      </c>
      <c r="E429" s="252" t="s">
        <v>166</v>
      </c>
      <c r="F429" s="251">
        <v>4050</v>
      </c>
      <c r="G429" s="303">
        <v>1.92</v>
      </c>
      <c r="H429" s="303">
        <v>2.84</v>
      </c>
      <c r="I429" s="251"/>
      <c r="J429" s="272">
        <f t="shared" si="160"/>
        <v>4.76</v>
      </c>
      <c r="K429" s="272">
        <f t="shared" si="161"/>
        <v>19278</v>
      </c>
      <c r="L429" s="273"/>
      <c r="M429" s="274">
        <f t="shared" si="162"/>
        <v>0</v>
      </c>
      <c r="N429" s="275"/>
      <c r="O429" s="276">
        <f t="shared" si="163"/>
        <v>0</v>
      </c>
      <c r="P429" s="273">
        <f t="shared" si="164"/>
        <v>0</v>
      </c>
      <c r="Q429" s="276">
        <f t="shared" si="165"/>
        <v>0</v>
      </c>
      <c r="R429" s="277">
        <f t="shared" si="166"/>
        <v>0</v>
      </c>
      <c r="S429" s="276">
        <f t="shared" si="167"/>
        <v>4050</v>
      </c>
      <c r="T429" s="276">
        <f t="shared" si="168"/>
        <v>19278</v>
      </c>
      <c r="U429" s="276"/>
      <c r="V429" s="249"/>
      <c r="W429" s="278"/>
      <c r="X429" s="279"/>
      <c r="Y429" s="249"/>
      <c r="Z429" s="265"/>
    </row>
    <row r="430" spans="2:26" ht="18" customHeight="1">
      <c r="B430" s="266">
        <f t="shared" si="169"/>
        <v>387</v>
      </c>
      <c r="C430" s="301" t="s">
        <v>571</v>
      </c>
      <c r="D430" s="251" t="s">
        <v>575</v>
      </c>
      <c r="E430" s="252" t="s">
        <v>175</v>
      </c>
      <c r="F430" s="251">
        <v>6</v>
      </c>
      <c r="G430" s="303">
        <v>9.66</v>
      </c>
      <c r="H430" s="303">
        <v>39.03</v>
      </c>
      <c r="I430" s="251"/>
      <c r="J430" s="272">
        <f t="shared" si="160"/>
        <v>48.69</v>
      </c>
      <c r="K430" s="272">
        <f t="shared" si="161"/>
        <v>292.14</v>
      </c>
      <c r="L430" s="273"/>
      <c r="M430" s="274">
        <f t="shared" si="162"/>
        <v>0</v>
      </c>
      <c r="N430" s="275"/>
      <c r="O430" s="276">
        <f t="shared" si="163"/>
        <v>0</v>
      </c>
      <c r="P430" s="273">
        <f t="shared" si="164"/>
        <v>0</v>
      </c>
      <c r="Q430" s="276">
        <f t="shared" si="165"/>
        <v>0</v>
      </c>
      <c r="R430" s="277">
        <f t="shared" si="166"/>
        <v>0</v>
      </c>
      <c r="S430" s="276">
        <f t="shared" si="167"/>
        <v>6</v>
      </c>
      <c r="T430" s="276">
        <f t="shared" si="168"/>
        <v>292.14</v>
      </c>
      <c r="U430" s="276"/>
      <c r="V430" s="249">
        <v>11752.684499999999</v>
      </c>
      <c r="W430" s="278">
        <f>M430-V430</f>
        <v>-11752.684499999999</v>
      </c>
      <c r="X430" s="279"/>
      <c r="Y430" s="249"/>
      <c r="Z430" s="265"/>
    </row>
    <row r="431" spans="2:26" ht="18" customHeight="1">
      <c r="B431" s="266">
        <f t="shared" si="169"/>
        <v>388</v>
      </c>
      <c r="C431" s="301" t="s">
        <v>571</v>
      </c>
      <c r="D431" s="251" t="s">
        <v>579</v>
      </c>
      <c r="E431" s="252" t="s">
        <v>175</v>
      </c>
      <c r="F431" s="251">
        <v>60</v>
      </c>
      <c r="G431" s="303">
        <v>4.82</v>
      </c>
      <c r="H431" s="303">
        <v>22.96</v>
      </c>
      <c r="I431" s="251"/>
      <c r="J431" s="272">
        <f t="shared" si="160"/>
        <v>27.78</v>
      </c>
      <c r="K431" s="272">
        <f t="shared" si="161"/>
        <v>1666.8000000000002</v>
      </c>
      <c r="L431" s="273"/>
      <c r="M431" s="274">
        <f t="shared" si="162"/>
        <v>0</v>
      </c>
      <c r="N431" s="275"/>
      <c r="O431" s="276">
        <f t="shared" si="163"/>
        <v>0</v>
      </c>
      <c r="P431" s="273">
        <f t="shared" si="164"/>
        <v>0</v>
      </c>
      <c r="Q431" s="276">
        <f t="shared" si="165"/>
        <v>0</v>
      </c>
      <c r="R431" s="277">
        <f t="shared" si="166"/>
        <v>0</v>
      </c>
      <c r="S431" s="276">
        <f t="shared" si="167"/>
        <v>60</v>
      </c>
      <c r="T431" s="276">
        <f t="shared" si="168"/>
        <v>1666.8000000000002</v>
      </c>
      <c r="U431" s="276"/>
      <c r="V431" s="249">
        <v>23858.932000000001</v>
      </c>
      <c r="W431" s="278">
        <f>M431-V431</f>
        <v>-23858.932000000001</v>
      </c>
      <c r="X431" s="279"/>
      <c r="Y431" s="249"/>
      <c r="Z431" s="265"/>
    </row>
    <row r="432" spans="2:26" ht="18" customHeight="1">
      <c r="B432" s="266">
        <f t="shared" si="169"/>
        <v>389</v>
      </c>
      <c r="C432" s="301" t="s">
        <v>571</v>
      </c>
      <c r="D432" s="251" t="s">
        <v>580</v>
      </c>
      <c r="E432" s="252" t="s">
        <v>175</v>
      </c>
      <c r="F432" s="251">
        <v>120</v>
      </c>
      <c r="G432" s="303">
        <v>4.28</v>
      </c>
      <c r="H432" s="303">
        <v>19.5</v>
      </c>
      <c r="I432" s="251"/>
      <c r="J432" s="272">
        <f t="shared" si="160"/>
        <v>23.78</v>
      </c>
      <c r="K432" s="272">
        <f t="shared" si="161"/>
        <v>2853.6000000000004</v>
      </c>
      <c r="L432" s="273"/>
      <c r="M432" s="274">
        <f t="shared" si="162"/>
        <v>0</v>
      </c>
      <c r="N432" s="275"/>
      <c r="O432" s="276">
        <f t="shared" si="163"/>
        <v>0</v>
      </c>
      <c r="P432" s="273">
        <f t="shared" si="164"/>
        <v>0</v>
      </c>
      <c r="Q432" s="276">
        <f t="shared" si="165"/>
        <v>0</v>
      </c>
      <c r="R432" s="277">
        <f t="shared" si="166"/>
        <v>0</v>
      </c>
      <c r="S432" s="276">
        <f t="shared" si="167"/>
        <v>120</v>
      </c>
      <c r="T432" s="276">
        <f t="shared" si="168"/>
        <v>2853.6000000000004</v>
      </c>
      <c r="U432" s="276"/>
      <c r="V432" s="249"/>
      <c r="W432" s="278"/>
      <c r="X432" s="279"/>
      <c r="Y432" s="249"/>
      <c r="Z432" s="265"/>
    </row>
    <row r="433" spans="1:26" ht="18" customHeight="1">
      <c r="B433" s="266">
        <f t="shared" si="169"/>
        <v>390</v>
      </c>
      <c r="C433" s="301" t="s">
        <v>571</v>
      </c>
      <c r="D433" s="251" t="s">
        <v>601</v>
      </c>
      <c r="E433" s="252" t="s">
        <v>175</v>
      </c>
      <c r="F433" s="251">
        <v>60</v>
      </c>
      <c r="G433" s="303">
        <v>3.74</v>
      </c>
      <c r="H433" s="303">
        <v>14.88</v>
      </c>
      <c r="I433" s="251"/>
      <c r="J433" s="272">
        <f t="shared" si="160"/>
        <v>18.62</v>
      </c>
      <c r="K433" s="272">
        <f t="shared" si="161"/>
        <v>1117.2</v>
      </c>
      <c r="L433" s="273"/>
      <c r="M433" s="274">
        <f t="shared" si="162"/>
        <v>0</v>
      </c>
      <c r="N433" s="275"/>
      <c r="O433" s="276">
        <f t="shared" si="163"/>
        <v>0</v>
      </c>
      <c r="P433" s="273">
        <f t="shared" si="164"/>
        <v>0</v>
      </c>
      <c r="Q433" s="276">
        <f t="shared" si="165"/>
        <v>0</v>
      </c>
      <c r="R433" s="277">
        <f t="shared" si="166"/>
        <v>0</v>
      </c>
      <c r="S433" s="276">
        <f t="shared" si="167"/>
        <v>60</v>
      </c>
      <c r="T433" s="276">
        <f t="shared" si="168"/>
        <v>1117.2</v>
      </c>
      <c r="U433" s="276"/>
      <c r="V433" s="249"/>
      <c r="W433" s="278"/>
      <c r="X433" s="279"/>
      <c r="Y433" s="249"/>
      <c r="Z433" s="265"/>
    </row>
    <row r="434" spans="1:26" ht="18" customHeight="1">
      <c r="B434" s="266">
        <f t="shared" si="169"/>
        <v>391</v>
      </c>
      <c r="C434" s="301" t="s">
        <v>581</v>
      </c>
      <c r="D434" s="251" t="s">
        <v>602</v>
      </c>
      <c r="E434" s="252" t="s">
        <v>175</v>
      </c>
      <c r="F434" s="251">
        <v>40</v>
      </c>
      <c r="G434" s="303">
        <v>9.66</v>
      </c>
      <c r="H434" s="303">
        <v>44.78</v>
      </c>
      <c r="I434" s="251"/>
      <c r="J434" s="272">
        <f t="shared" si="160"/>
        <v>54.44</v>
      </c>
      <c r="K434" s="272">
        <f t="shared" si="161"/>
        <v>2177.6</v>
      </c>
      <c r="L434" s="273"/>
      <c r="M434" s="274">
        <f t="shared" si="162"/>
        <v>0</v>
      </c>
      <c r="N434" s="275"/>
      <c r="O434" s="276">
        <f t="shared" si="163"/>
        <v>0</v>
      </c>
      <c r="P434" s="273">
        <f t="shared" si="164"/>
        <v>0</v>
      </c>
      <c r="Q434" s="276">
        <f t="shared" si="165"/>
        <v>0</v>
      </c>
      <c r="R434" s="277">
        <f t="shared" si="166"/>
        <v>0</v>
      </c>
      <c r="S434" s="276">
        <f t="shared" si="167"/>
        <v>40</v>
      </c>
      <c r="T434" s="276">
        <f t="shared" si="168"/>
        <v>2177.6</v>
      </c>
      <c r="U434" s="276"/>
      <c r="V434" s="249"/>
      <c r="W434" s="278"/>
      <c r="X434" s="279"/>
      <c r="Y434" s="249"/>
      <c r="Z434" s="265"/>
    </row>
    <row r="435" spans="1:26" ht="18" customHeight="1">
      <c r="B435" s="266">
        <f t="shared" si="169"/>
        <v>392</v>
      </c>
      <c r="C435" s="301" t="s">
        <v>581</v>
      </c>
      <c r="D435" s="251" t="s">
        <v>603</v>
      </c>
      <c r="E435" s="252" t="s">
        <v>175</v>
      </c>
      <c r="F435" s="251">
        <v>8</v>
      </c>
      <c r="G435" s="303">
        <v>29.5</v>
      </c>
      <c r="H435" s="303">
        <v>82.68</v>
      </c>
      <c r="I435" s="251"/>
      <c r="J435" s="272">
        <f t="shared" si="160"/>
        <v>112.18</v>
      </c>
      <c r="K435" s="272">
        <f t="shared" si="161"/>
        <v>897.44</v>
      </c>
      <c r="L435" s="273"/>
      <c r="M435" s="274">
        <f t="shared" si="162"/>
        <v>0</v>
      </c>
      <c r="N435" s="275"/>
      <c r="O435" s="276">
        <f t="shared" si="163"/>
        <v>0</v>
      </c>
      <c r="P435" s="273">
        <f t="shared" si="164"/>
        <v>0</v>
      </c>
      <c r="Q435" s="276">
        <f t="shared" si="165"/>
        <v>0</v>
      </c>
      <c r="R435" s="277">
        <f t="shared" si="166"/>
        <v>0</v>
      </c>
      <c r="S435" s="276">
        <f t="shared" si="167"/>
        <v>8</v>
      </c>
      <c r="T435" s="276">
        <f t="shared" si="168"/>
        <v>897.44</v>
      </c>
      <c r="U435" s="276"/>
      <c r="V435" s="249">
        <v>0</v>
      </c>
      <c r="W435" s="278">
        <f>M435-V435</f>
        <v>0</v>
      </c>
      <c r="X435" s="279"/>
      <c r="Y435" s="249"/>
      <c r="Z435" s="265"/>
    </row>
    <row r="436" spans="1:26" ht="18" customHeight="1">
      <c r="B436" s="266">
        <f t="shared" si="169"/>
        <v>393</v>
      </c>
      <c r="C436" s="301" t="s">
        <v>604</v>
      </c>
      <c r="D436" s="251" t="s">
        <v>605</v>
      </c>
      <c r="E436" s="252" t="s">
        <v>175</v>
      </c>
      <c r="F436" s="251">
        <v>1</v>
      </c>
      <c r="G436" s="303">
        <v>96.55</v>
      </c>
      <c r="H436" s="303">
        <v>155</v>
      </c>
      <c r="I436" s="251"/>
      <c r="J436" s="272">
        <f t="shared" si="160"/>
        <v>251.55</v>
      </c>
      <c r="K436" s="272">
        <f t="shared" si="161"/>
        <v>251.55</v>
      </c>
      <c r="L436" s="273"/>
      <c r="M436" s="274">
        <f t="shared" si="162"/>
        <v>0</v>
      </c>
      <c r="N436" s="275"/>
      <c r="O436" s="276">
        <f t="shared" si="163"/>
        <v>0</v>
      </c>
      <c r="P436" s="273">
        <f t="shared" si="164"/>
        <v>0</v>
      </c>
      <c r="Q436" s="276">
        <f t="shared" si="165"/>
        <v>0</v>
      </c>
      <c r="R436" s="277">
        <f t="shared" si="166"/>
        <v>0</v>
      </c>
      <c r="S436" s="276">
        <f t="shared" si="167"/>
        <v>1</v>
      </c>
      <c r="T436" s="276">
        <f t="shared" si="168"/>
        <v>251.55</v>
      </c>
      <c r="U436" s="276"/>
      <c r="V436" s="249"/>
      <c r="W436" s="278"/>
      <c r="X436" s="279"/>
      <c r="Y436" s="249"/>
      <c r="Z436" s="265"/>
    </row>
    <row r="437" spans="1:26" ht="18" customHeight="1">
      <c r="B437" s="266">
        <f t="shared" si="169"/>
        <v>394</v>
      </c>
      <c r="C437" s="301" t="s">
        <v>604</v>
      </c>
      <c r="D437" s="251" t="s">
        <v>606</v>
      </c>
      <c r="E437" s="252" t="s">
        <v>175</v>
      </c>
      <c r="F437" s="251">
        <v>1</v>
      </c>
      <c r="G437" s="303">
        <v>171.66</v>
      </c>
      <c r="H437" s="303">
        <v>206.69</v>
      </c>
      <c r="I437" s="251"/>
      <c r="J437" s="272">
        <f t="shared" si="160"/>
        <v>378.35</v>
      </c>
      <c r="K437" s="272">
        <f t="shared" si="161"/>
        <v>378.35</v>
      </c>
      <c r="L437" s="273"/>
      <c r="M437" s="274">
        <f t="shared" si="162"/>
        <v>0</v>
      </c>
      <c r="N437" s="275"/>
      <c r="O437" s="276">
        <f t="shared" si="163"/>
        <v>0</v>
      </c>
      <c r="P437" s="273">
        <f t="shared" si="164"/>
        <v>0</v>
      </c>
      <c r="Q437" s="276">
        <f t="shared" si="165"/>
        <v>0</v>
      </c>
      <c r="R437" s="277">
        <f t="shared" si="166"/>
        <v>0</v>
      </c>
      <c r="S437" s="276">
        <f t="shared" si="167"/>
        <v>1</v>
      </c>
      <c r="T437" s="276">
        <f t="shared" si="168"/>
        <v>378.35</v>
      </c>
      <c r="U437" s="276"/>
      <c r="V437" s="249"/>
      <c r="W437" s="278"/>
      <c r="X437" s="279"/>
      <c r="Y437" s="249"/>
      <c r="Z437" s="265"/>
    </row>
    <row r="438" spans="1:26" ht="18" customHeight="1">
      <c r="B438" s="266">
        <f t="shared" si="169"/>
        <v>395</v>
      </c>
      <c r="C438" s="301"/>
      <c r="D438" s="251"/>
      <c r="E438" s="252"/>
      <c r="F438" s="251"/>
      <c r="G438" s="303"/>
      <c r="H438" s="303"/>
      <c r="I438" s="251"/>
      <c r="J438" s="272"/>
      <c r="K438" s="272"/>
      <c r="L438" s="273"/>
      <c r="M438" s="274"/>
      <c r="N438" s="275"/>
      <c r="O438" s="276"/>
      <c r="P438" s="273"/>
      <c r="Q438" s="276"/>
      <c r="R438" s="277"/>
      <c r="S438" s="276"/>
      <c r="T438" s="276"/>
      <c r="U438" s="276"/>
      <c r="V438" s="249">
        <v>0</v>
      </c>
      <c r="W438" s="278">
        <f t="shared" ref="W438:W450" si="170">M438-V438</f>
        <v>0</v>
      </c>
      <c r="X438" s="279"/>
      <c r="Y438" s="249"/>
      <c r="Z438" s="265"/>
    </row>
    <row r="439" spans="1:26" s="304" customFormat="1" ht="18" customHeight="1">
      <c r="B439" s="281">
        <f t="shared" si="169"/>
        <v>396</v>
      </c>
      <c r="C439" s="305" t="s">
        <v>171</v>
      </c>
      <c r="D439" s="306"/>
      <c r="E439" s="307"/>
      <c r="F439" s="306"/>
      <c r="G439" s="308"/>
      <c r="H439" s="308"/>
      <c r="I439" s="306"/>
      <c r="J439" s="287"/>
      <c r="K439" s="309">
        <f>SUM(K413:K438)</f>
        <v>140971.86000000002</v>
      </c>
      <c r="L439" s="288"/>
      <c r="M439" s="309">
        <f>SUM(M413:M438)</f>
        <v>0</v>
      </c>
      <c r="N439" s="288"/>
      <c r="O439" s="309">
        <f>SUM(O413:O438)</f>
        <v>0</v>
      </c>
      <c r="P439" s="288"/>
      <c r="Q439" s="309">
        <f>SUM(Q413:Q438)</f>
        <v>0</v>
      </c>
      <c r="R439" s="289">
        <f>IFERROR(+Q439/K439,0)</f>
        <v>0</v>
      </c>
      <c r="S439" s="290"/>
      <c r="T439" s="290">
        <f>SUM(T413:T438)</f>
        <v>140971.86000000002</v>
      </c>
      <c r="U439" s="309"/>
      <c r="V439" s="249">
        <v>706239.60129999998</v>
      </c>
      <c r="W439" s="278">
        <f t="shared" si="170"/>
        <v>-706239.60129999998</v>
      </c>
      <c r="X439" s="279"/>
      <c r="Y439" s="249"/>
      <c r="Z439" s="265"/>
    </row>
    <row r="440" spans="1:26" s="217" customFormat="1" ht="18" customHeight="1">
      <c r="B440" s="260">
        <f t="shared" si="169"/>
        <v>397</v>
      </c>
      <c r="C440" s="291" t="s">
        <v>607</v>
      </c>
      <c r="D440" s="310"/>
      <c r="E440" s="293"/>
      <c r="F440" s="310"/>
      <c r="G440" s="311"/>
      <c r="H440" s="311"/>
      <c r="I440" s="310"/>
      <c r="J440" s="295"/>
      <c r="K440" s="295"/>
      <c r="L440" s="299"/>
      <c r="M440" s="296"/>
      <c r="N440" s="297"/>
      <c r="O440" s="298"/>
      <c r="P440" s="299"/>
      <c r="Q440" s="298"/>
      <c r="R440" s="300"/>
      <c r="S440" s="298"/>
      <c r="T440" s="298"/>
      <c r="U440" s="298"/>
      <c r="V440" s="249"/>
      <c r="W440" s="278">
        <f t="shared" si="170"/>
        <v>0</v>
      </c>
      <c r="X440" s="279"/>
      <c r="Y440" s="249"/>
      <c r="Z440" s="265"/>
    </row>
    <row r="441" spans="1:26" ht="18" customHeight="1">
      <c r="A441" s="313" t="str">
        <f t="shared" ref="A441:A456" si="171">+C441&amp;LEFT(D441,10)&amp;E441</f>
        <v>ELECTRICAL METALLIC TUBING (EMT)3/4" SET SLF</v>
      </c>
      <c r="B441" s="266">
        <f t="shared" si="169"/>
        <v>398</v>
      </c>
      <c r="C441" s="301" t="s">
        <v>549</v>
      </c>
      <c r="D441" s="251" t="s">
        <v>596</v>
      </c>
      <c r="E441" s="252" t="s">
        <v>166</v>
      </c>
      <c r="F441" s="251">
        <v>1500</v>
      </c>
      <c r="G441" s="303">
        <v>0.85</v>
      </c>
      <c r="H441" s="303">
        <v>6.18</v>
      </c>
      <c r="I441" s="251"/>
      <c r="J441" s="272">
        <f t="shared" ref="J441:J456" si="172">I441+H441+G441</f>
        <v>7.0299999999999994</v>
      </c>
      <c r="K441" s="272">
        <f t="shared" ref="K441:K456" si="173">J441*F441</f>
        <v>10544.999999999998</v>
      </c>
      <c r="L441" s="273"/>
      <c r="M441" s="274">
        <f t="shared" ref="M441:M456" si="174">L441*J441</f>
        <v>0</v>
      </c>
      <c r="N441" s="275"/>
      <c r="O441" s="276">
        <f t="shared" ref="O441:O456" si="175">N441*J441</f>
        <v>0</v>
      </c>
      <c r="P441" s="273">
        <f t="shared" ref="P441:P456" si="176">N441+L441</f>
        <v>0</v>
      </c>
      <c r="Q441" s="276">
        <f t="shared" ref="Q441:Q456" si="177">P441*J441</f>
        <v>0</v>
      </c>
      <c r="R441" s="277">
        <f t="shared" ref="R441:R456" si="178">IFERROR(Q441/K441,0)</f>
        <v>0</v>
      </c>
      <c r="S441" s="276">
        <f t="shared" ref="S441:S456" si="179">F441-P441</f>
        <v>1500</v>
      </c>
      <c r="T441" s="276">
        <f t="shared" ref="T441:T456" si="180">K441-Q441</f>
        <v>10544.999999999998</v>
      </c>
      <c r="U441" s="276"/>
      <c r="V441" s="249">
        <v>0</v>
      </c>
      <c r="W441" s="278">
        <f t="shared" si="170"/>
        <v>0</v>
      </c>
      <c r="X441" s="279"/>
      <c r="Y441" s="249"/>
      <c r="Z441" s="313"/>
    </row>
    <row r="442" spans="1:26" ht="18" customHeight="1">
      <c r="A442" s="313" t="str">
        <f t="shared" si="171"/>
        <v>CONDUIT SUPPORT SYSTEM3/4"SET</v>
      </c>
      <c r="B442" s="266">
        <f t="shared" si="169"/>
        <v>399</v>
      </c>
      <c r="C442" s="301" t="s">
        <v>554</v>
      </c>
      <c r="D442" s="251" t="s">
        <v>597</v>
      </c>
      <c r="E442" s="252" t="s">
        <v>234</v>
      </c>
      <c r="F442" s="251">
        <v>150</v>
      </c>
      <c r="G442" s="303">
        <v>5.36</v>
      </c>
      <c r="H442" s="303">
        <v>25.24</v>
      </c>
      <c r="I442" s="251"/>
      <c r="J442" s="272">
        <f t="shared" si="172"/>
        <v>30.599999999999998</v>
      </c>
      <c r="K442" s="272">
        <f t="shared" si="173"/>
        <v>4590</v>
      </c>
      <c r="L442" s="273"/>
      <c r="M442" s="274">
        <f t="shared" si="174"/>
        <v>0</v>
      </c>
      <c r="N442" s="275"/>
      <c r="O442" s="276">
        <f t="shared" si="175"/>
        <v>0</v>
      </c>
      <c r="P442" s="273">
        <f t="shared" si="176"/>
        <v>0</v>
      </c>
      <c r="Q442" s="276">
        <f t="shared" si="177"/>
        <v>0</v>
      </c>
      <c r="R442" s="277">
        <f t="shared" si="178"/>
        <v>0</v>
      </c>
      <c r="S442" s="276">
        <f t="shared" si="179"/>
        <v>150</v>
      </c>
      <c r="T442" s="276">
        <f t="shared" si="180"/>
        <v>4590</v>
      </c>
      <c r="U442" s="276"/>
      <c r="V442" s="249">
        <v>1008.288</v>
      </c>
      <c r="W442" s="278">
        <f t="shared" si="170"/>
        <v>-1008.288</v>
      </c>
      <c r="X442" s="279"/>
      <c r="Y442" s="249"/>
      <c r="Z442" s="313"/>
    </row>
    <row r="443" spans="1:26" ht="18" customHeight="1">
      <c r="A443" s="313" t="str">
        <f t="shared" si="171"/>
        <v>SINGLE CONDUCTOR (THHN/THWN) - STRANDEDAWG#12LF</v>
      </c>
      <c r="B443" s="266">
        <f t="shared" si="169"/>
        <v>400</v>
      </c>
      <c r="C443" s="301" t="s">
        <v>566</v>
      </c>
      <c r="D443" s="251" t="s">
        <v>608</v>
      </c>
      <c r="E443" s="252" t="s">
        <v>166</v>
      </c>
      <c r="F443" s="251">
        <v>525</v>
      </c>
      <c r="G443" s="303">
        <v>0.28000000000000003</v>
      </c>
      <c r="H443" s="303">
        <v>1.27</v>
      </c>
      <c r="I443" s="251"/>
      <c r="J443" s="272">
        <f t="shared" si="172"/>
        <v>1.55</v>
      </c>
      <c r="K443" s="272">
        <f t="shared" si="173"/>
        <v>813.75</v>
      </c>
      <c r="L443" s="273"/>
      <c r="M443" s="274">
        <f t="shared" si="174"/>
        <v>0</v>
      </c>
      <c r="N443" s="275"/>
      <c r="O443" s="276">
        <f t="shared" si="175"/>
        <v>0</v>
      </c>
      <c r="P443" s="273">
        <f t="shared" si="176"/>
        <v>0</v>
      </c>
      <c r="Q443" s="276">
        <f t="shared" si="177"/>
        <v>0</v>
      </c>
      <c r="R443" s="277">
        <f t="shared" si="178"/>
        <v>0</v>
      </c>
      <c r="S443" s="276">
        <f t="shared" si="179"/>
        <v>525</v>
      </c>
      <c r="T443" s="276">
        <f t="shared" si="180"/>
        <v>813.75</v>
      </c>
      <c r="U443" s="276"/>
      <c r="V443" s="249">
        <v>3418.578</v>
      </c>
      <c r="W443" s="278">
        <f t="shared" si="170"/>
        <v>-3418.578</v>
      </c>
      <c r="X443" s="279"/>
      <c r="Y443" s="249"/>
      <c r="Z443" s="313"/>
    </row>
    <row r="444" spans="1:26" ht="18" customHeight="1">
      <c r="A444" s="313" t="str">
        <f t="shared" si="171"/>
        <v>Multi Conductor (THHN/THWN) - Stranded(3PH) AWG#LF</v>
      </c>
      <c r="B444" s="266">
        <f t="shared" si="169"/>
        <v>401</v>
      </c>
      <c r="C444" s="301" t="s">
        <v>609</v>
      </c>
      <c r="D444" s="251" t="s">
        <v>610</v>
      </c>
      <c r="E444" s="252" t="s">
        <v>166</v>
      </c>
      <c r="F444" s="251">
        <v>675</v>
      </c>
      <c r="G444" s="303">
        <v>0.89</v>
      </c>
      <c r="H444" s="303">
        <v>1.92</v>
      </c>
      <c r="I444" s="251"/>
      <c r="J444" s="272">
        <f t="shared" si="172"/>
        <v>2.81</v>
      </c>
      <c r="K444" s="272">
        <f t="shared" si="173"/>
        <v>1896.75</v>
      </c>
      <c r="L444" s="273"/>
      <c r="M444" s="274">
        <f t="shared" si="174"/>
        <v>0</v>
      </c>
      <c r="N444" s="275"/>
      <c r="O444" s="276">
        <f t="shared" si="175"/>
        <v>0</v>
      </c>
      <c r="P444" s="273">
        <f t="shared" si="176"/>
        <v>0</v>
      </c>
      <c r="Q444" s="276">
        <f t="shared" si="177"/>
        <v>0</v>
      </c>
      <c r="R444" s="277">
        <f t="shared" si="178"/>
        <v>0</v>
      </c>
      <c r="S444" s="276">
        <f t="shared" si="179"/>
        <v>675</v>
      </c>
      <c r="T444" s="276">
        <f t="shared" si="180"/>
        <v>1896.75</v>
      </c>
      <c r="U444" s="276"/>
      <c r="V444" s="249">
        <v>0</v>
      </c>
      <c r="W444" s="278">
        <f t="shared" si="170"/>
        <v>0</v>
      </c>
      <c r="X444" s="279"/>
      <c r="Y444" s="249"/>
      <c r="Z444" s="313"/>
    </row>
    <row r="445" spans="1:26" ht="18" customHeight="1">
      <c r="A445" s="313" t="str">
        <f t="shared" si="171"/>
        <v>MC(FLEXIBLE ALUMIUM CONDUIT) CABLE(3PH) AWG#LF</v>
      </c>
      <c r="B445" s="266">
        <f t="shared" si="169"/>
        <v>402</v>
      </c>
      <c r="C445" s="301" t="s">
        <v>611</v>
      </c>
      <c r="D445" s="251" t="s">
        <v>610</v>
      </c>
      <c r="E445" s="252" t="s">
        <v>166</v>
      </c>
      <c r="F445" s="251">
        <v>1000</v>
      </c>
      <c r="G445" s="303">
        <v>1.39</v>
      </c>
      <c r="H445" s="303">
        <v>2.54</v>
      </c>
      <c r="I445" s="251"/>
      <c r="J445" s="272">
        <f t="shared" si="172"/>
        <v>3.9299999999999997</v>
      </c>
      <c r="K445" s="272">
        <f t="shared" si="173"/>
        <v>3929.9999999999995</v>
      </c>
      <c r="L445" s="273"/>
      <c r="M445" s="274">
        <f t="shared" si="174"/>
        <v>0</v>
      </c>
      <c r="N445" s="275"/>
      <c r="O445" s="276">
        <f t="shared" si="175"/>
        <v>0</v>
      </c>
      <c r="P445" s="273">
        <f t="shared" si="176"/>
        <v>0</v>
      </c>
      <c r="Q445" s="276">
        <f t="shared" si="177"/>
        <v>0</v>
      </c>
      <c r="R445" s="277">
        <f t="shared" si="178"/>
        <v>0</v>
      </c>
      <c r="S445" s="276">
        <f t="shared" si="179"/>
        <v>1000</v>
      </c>
      <c r="T445" s="276">
        <f t="shared" si="180"/>
        <v>3929.9999999999995</v>
      </c>
      <c r="U445" s="276"/>
      <c r="V445" s="249">
        <v>0</v>
      </c>
      <c r="W445" s="278">
        <f t="shared" si="170"/>
        <v>0</v>
      </c>
      <c r="X445" s="279"/>
      <c r="Y445" s="249"/>
      <c r="Z445" s="313"/>
    </row>
    <row r="446" spans="1:26" ht="18" customHeight="1">
      <c r="A446" s="313" t="str">
        <f t="shared" si="171"/>
        <v>MC CABLE HANGER CLAMP14-2 TO 10EA</v>
      </c>
      <c r="B446" s="266">
        <f t="shared" si="169"/>
        <v>403</v>
      </c>
      <c r="C446" s="301" t="s">
        <v>612</v>
      </c>
      <c r="D446" s="251" t="s">
        <v>613</v>
      </c>
      <c r="E446" s="252" t="s">
        <v>175</v>
      </c>
      <c r="F446" s="251">
        <v>125</v>
      </c>
      <c r="G446" s="303">
        <v>3.2</v>
      </c>
      <c r="H446" s="303">
        <v>17.78</v>
      </c>
      <c r="I446" s="251"/>
      <c r="J446" s="272">
        <f t="shared" si="172"/>
        <v>20.98</v>
      </c>
      <c r="K446" s="272">
        <f t="shared" si="173"/>
        <v>2622.5</v>
      </c>
      <c r="L446" s="273"/>
      <c r="M446" s="274">
        <f t="shared" si="174"/>
        <v>0</v>
      </c>
      <c r="N446" s="275"/>
      <c r="O446" s="276">
        <f t="shared" si="175"/>
        <v>0</v>
      </c>
      <c r="P446" s="273">
        <f t="shared" si="176"/>
        <v>0</v>
      </c>
      <c r="Q446" s="276">
        <f t="shared" si="177"/>
        <v>0</v>
      </c>
      <c r="R446" s="277">
        <f t="shared" si="178"/>
        <v>0</v>
      </c>
      <c r="S446" s="276">
        <f t="shared" si="179"/>
        <v>125</v>
      </c>
      <c r="T446" s="276">
        <f t="shared" si="180"/>
        <v>2622.5</v>
      </c>
      <c r="U446" s="276"/>
      <c r="V446" s="249">
        <v>0</v>
      </c>
      <c r="W446" s="278">
        <f t="shared" si="170"/>
        <v>0</v>
      </c>
      <c r="X446" s="279"/>
      <c r="Y446" s="249"/>
      <c r="Z446" s="313"/>
    </row>
    <row r="447" spans="1:26" ht="18" customHeight="1">
      <c r="A447" s="313" t="str">
        <f t="shared" si="171"/>
        <v>Metal Clad Cable(M/C) FittingBusing,WirEA</v>
      </c>
      <c r="B447" s="266">
        <f t="shared" si="169"/>
        <v>404</v>
      </c>
      <c r="C447" s="301" t="s">
        <v>614</v>
      </c>
      <c r="D447" s="251" t="s">
        <v>615</v>
      </c>
      <c r="E447" s="252" t="s">
        <v>175</v>
      </c>
      <c r="F447" s="251">
        <v>100</v>
      </c>
      <c r="G447" s="303">
        <v>4.28</v>
      </c>
      <c r="H447" s="303">
        <v>15.46</v>
      </c>
      <c r="I447" s="251"/>
      <c r="J447" s="272">
        <f t="shared" si="172"/>
        <v>19.740000000000002</v>
      </c>
      <c r="K447" s="272">
        <f t="shared" si="173"/>
        <v>1974.0000000000002</v>
      </c>
      <c r="L447" s="273"/>
      <c r="M447" s="274">
        <f t="shared" si="174"/>
        <v>0</v>
      </c>
      <c r="N447" s="275"/>
      <c r="O447" s="276">
        <f t="shared" si="175"/>
        <v>0</v>
      </c>
      <c r="P447" s="273">
        <f t="shared" si="176"/>
        <v>0</v>
      </c>
      <c r="Q447" s="276">
        <f t="shared" si="177"/>
        <v>0</v>
      </c>
      <c r="R447" s="277">
        <f t="shared" si="178"/>
        <v>0</v>
      </c>
      <c r="S447" s="276">
        <f t="shared" si="179"/>
        <v>100</v>
      </c>
      <c r="T447" s="276">
        <f t="shared" si="180"/>
        <v>1974.0000000000002</v>
      </c>
      <c r="U447" s="276"/>
      <c r="V447" s="249">
        <v>19691.1312</v>
      </c>
      <c r="W447" s="278">
        <f t="shared" si="170"/>
        <v>-19691.1312</v>
      </c>
      <c r="X447" s="279"/>
      <c r="Y447" s="249"/>
      <c r="Z447" s="313"/>
    </row>
    <row r="448" spans="1:26" ht="18" customHeight="1">
      <c r="A448" s="313" t="str">
        <f t="shared" si="171"/>
        <v>CONNECTION AND TERMINATIONAWG#12 COMEA</v>
      </c>
      <c r="B448" s="266">
        <f t="shared" si="169"/>
        <v>405</v>
      </c>
      <c r="C448" s="301" t="s">
        <v>571</v>
      </c>
      <c r="D448" s="251" t="s">
        <v>616</v>
      </c>
      <c r="E448" s="252" t="s">
        <v>175</v>
      </c>
      <c r="F448" s="251">
        <v>366</v>
      </c>
      <c r="G448" s="303">
        <v>2.14</v>
      </c>
      <c r="H448" s="303">
        <v>11.45</v>
      </c>
      <c r="I448" s="251"/>
      <c r="J448" s="272">
        <f t="shared" si="172"/>
        <v>13.59</v>
      </c>
      <c r="K448" s="272">
        <f t="shared" si="173"/>
        <v>4973.9399999999996</v>
      </c>
      <c r="L448" s="273"/>
      <c r="M448" s="274">
        <f t="shared" si="174"/>
        <v>0</v>
      </c>
      <c r="N448" s="275"/>
      <c r="O448" s="276">
        <f t="shared" si="175"/>
        <v>0</v>
      </c>
      <c r="P448" s="273">
        <f t="shared" si="176"/>
        <v>0</v>
      </c>
      <c r="Q448" s="276">
        <f t="shared" si="177"/>
        <v>0</v>
      </c>
      <c r="R448" s="277">
        <f t="shared" si="178"/>
        <v>0</v>
      </c>
      <c r="S448" s="276">
        <f t="shared" si="179"/>
        <v>366</v>
      </c>
      <c r="T448" s="276">
        <f t="shared" si="180"/>
        <v>4973.9399999999996</v>
      </c>
      <c r="U448" s="276"/>
      <c r="V448" s="279">
        <v>107637.24249999999</v>
      </c>
      <c r="W448" s="278">
        <f t="shared" si="170"/>
        <v>-107637.24249999999</v>
      </c>
      <c r="X448" s="279"/>
      <c r="Y448" s="249"/>
      <c r="Z448" s="313"/>
    </row>
    <row r="449" spans="1:26" ht="18" customHeight="1">
      <c r="A449" s="313" t="str">
        <f t="shared" si="171"/>
        <v>JUNCTION BOX, NEMA-14"W x 2"H EA</v>
      </c>
      <c r="B449" s="266">
        <f t="shared" si="169"/>
        <v>406</v>
      </c>
      <c r="C449" s="301" t="s">
        <v>581</v>
      </c>
      <c r="D449" s="251" t="s">
        <v>617</v>
      </c>
      <c r="E449" s="252" t="s">
        <v>175</v>
      </c>
      <c r="F449" s="251">
        <v>180</v>
      </c>
      <c r="G449" s="303">
        <v>6.43</v>
      </c>
      <c r="H449" s="303">
        <v>35.58</v>
      </c>
      <c r="I449" s="251"/>
      <c r="J449" s="272">
        <f t="shared" si="172"/>
        <v>42.01</v>
      </c>
      <c r="K449" s="272">
        <f t="shared" si="173"/>
        <v>7561.7999999999993</v>
      </c>
      <c r="L449" s="273"/>
      <c r="M449" s="274">
        <f t="shared" si="174"/>
        <v>0</v>
      </c>
      <c r="N449" s="275"/>
      <c r="O449" s="276">
        <f t="shared" si="175"/>
        <v>0</v>
      </c>
      <c r="P449" s="273">
        <f t="shared" si="176"/>
        <v>0</v>
      </c>
      <c r="Q449" s="276">
        <f t="shared" si="177"/>
        <v>0</v>
      </c>
      <c r="R449" s="277">
        <f t="shared" si="178"/>
        <v>0</v>
      </c>
      <c r="S449" s="276">
        <f t="shared" si="179"/>
        <v>180</v>
      </c>
      <c r="T449" s="276">
        <f t="shared" si="180"/>
        <v>7561.7999999999993</v>
      </c>
      <c r="U449" s="276"/>
      <c r="V449" s="279">
        <v>68821.86</v>
      </c>
      <c r="W449" s="278">
        <f t="shared" si="170"/>
        <v>-68821.86</v>
      </c>
      <c r="X449" s="279"/>
      <c r="Y449" s="249"/>
      <c r="Z449" s="313"/>
    </row>
    <row r="450" spans="1:26" ht="18" customHeight="1">
      <c r="A450" s="313" t="str">
        <f t="shared" si="171"/>
        <v>JUNCTION BOX, NEMA-18"W x 8"H EA</v>
      </c>
      <c r="B450" s="266">
        <f t="shared" si="169"/>
        <v>407</v>
      </c>
      <c r="C450" s="301" t="s">
        <v>581</v>
      </c>
      <c r="D450" s="251" t="s">
        <v>603</v>
      </c>
      <c r="E450" s="252" t="s">
        <v>175</v>
      </c>
      <c r="F450" s="251">
        <v>4</v>
      </c>
      <c r="G450" s="303">
        <v>29.5</v>
      </c>
      <c r="H450" s="303">
        <v>82.68</v>
      </c>
      <c r="I450" s="251"/>
      <c r="J450" s="272">
        <f t="shared" si="172"/>
        <v>112.18</v>
      </c>
      <c r="K450" s="272">
        <f t="shared" si="173"/>
        <v>448.72</v>
      </c>
      <c r="L450" s="273"/>
      <c r="M450" s="274">
        <f t="shared" si="174"/>
        <v>0</v>
      </c>
      <c r="N450" s="275"/>
      <c r="O450" s="276">
        <f t="shared" si="175"/>
        <v>0</v>
      </c>
      <c r="P450" s="273">
        <f t="shared" si="176"/>
        <v>0</v>
      </c>
      <c r="Q450" s="276">
        <f t="shared" si="177"/>
        <v>0</v>
      </c>
      <c r="R450" s="277">
        <f t="shared" si="178"/>
        <v>0</v>
      </c>
      <c r="S450" s="276">
        <f t="shared" si="179"/>
        <v>4</v>
      </c>
      <c r="T450" s="276">
        <f t="shared" si="180"/>
        <v>448.72</v>
      </c>
      <c r="U450" s="276"/>
      <c r="V450" s="249">
        <v>0</v>
      </c>
      <c r="W450" s="278">
        <f t="shared" si="170"/>
        <v>0</v>
      </c>
      <c r="X450" s="279"/>
      <c r="Y450" s="249"/>
      <c r="Z450" s="313"/>
    </row>
    <row r="451" spans="1:26" ht="18" customHeight="1">
      <c r="A451" s="313" t="str">
        <f t="shared" si="171"/>
        <v>SWITCH 1P20A 120-27EA</v>
      </c>
      <c r="B451" s="321">
        <f t="shared" si="169"/>
        <v>408</v>
      </c>
      <c r="C451" s="301" t="s">
        <v>618</v>
      </c>
      <c r="D451" s="251" t="s">
        <v>619</v>
      </c>
      <c r="E451" s="252" t="s">
        <v>175</v>
      </c>
      <c r="F451" s="251">
        <v>13</v>
      </c>
      <c r="G451" s="303">
        <v>17.16</v>
      </c>
      <c r="H451" s="303">
        <v>57.44</v>
      </c>
      <c r="I451" s="251"/>
      <c r="J451" s="272">
        <f t="shared" si="172"/>
        <v>74.599999999999994</v>
      </c>
      <c r="K451" s="272">
        <f t="shared" si="173"/>
        <v>969.8</v>
      </c>
      <c r="L451" s="273"/>
      <c r="M451" s="274">
        <f t="shared" si="174"/>
        <v>0</v>
      </c>
      <c r="N451" s="275"/>
      <c r="O451" s="276">
        <f t="shared" si="175"/>
        <v>0</v>
      </c>
      <c r="P451" s="273">
        <f t="shared" si="176"/>
        <v>0</v>
      </c>
      <c r="Q451" s="276">
        <f t="shared" si="177"/>
        <v>0</v>
      </c>
      <c r="R451" s="277">
        <f t="shared" si="178"/>
        <v>0</v>
      </c>
      <c r="S451" s="276">
        <f t="shared" si="179"/>
        <v>13</v>
      </c>
      <c r="T451" s="276">
        <f t="shared" si="180"/>
        <v>969.8</v>
      </c>
      <c r="U451" s="276"/>
      <c r="V451" s="249"/>
      <c r="W451" s="278"/>
      <c r="X451" s="279"/>
      <c r="Y451" s="249"/>
      <c r="Z451" s="313"/>
    </row>
    <row r="452" spans="1:26" ht="18" customHeight="1">
      <c r="A452" s="313" t="str">
        <f t="shared" si="171"/>
        <v>LED Lighting FixtureTYPE "DownEA</v>
      </c>
      <c r="B452" s="321">
        <f t="shared" si="169"/>
        <v>409</v>
      </c>
      <c r="C452" s="301" t="s">
        <v>620</v>
      </c>
      <c r="D452" s="251" t="s">
        <v>621</v>
      </c>
      <c r="E452" s="252" t="s">
        <v>175</v>
      </c>
      <c r="F452" s="251">
        <v>103</v>
      </c>
      <c r="G452" s="303">
        <v>0</v>
      </c>
      <c r="H452" s="303">
        <v>109.1</v>
      </c>
      <c r="I452" s="251"/>
      <c r="J452" s="272">
        <f t="shared" si="172"/>
        <v>109.1</v>
      </c>
      <c r="K452" s="272">
        <f t="shared" si="173"/>
        <v>11237.3</v>
      </c>
      <c r="L452" s="273"/>
      <c r="M452" s="274">
        <f t="shared" si="174"/>
        <v>0</v>
      </c>
      <c r="N452" s="275"/>
      <c r="O452" s="276">
        <f t="shared" si="175"/>
        <v>0</v>
      </c>
      <c r="P452" s="273">
        <f t="shared" si="176"/>
        <v>0</v>
      </c>
      <c r="Q452" s="276">
        <f t="shared" si="177"/>
        <v>0</v>
      </c>
      <c r="R452" s="277">
        <f t="shared" si="178"/>
        <v>0</v>
      </c>
      <c r="S452" s="276">
        <f t="shared" si="179"/>
        <v>103</v>
      </c>
      <c r="T452" s="276">
        <f t="shared" si="180"/>
        <v>11237.3</v>
      </c>
      <c r="U452" s="276"/>
      <c r="V452" s="249"/>
      <c r="W452" s="278"/>
      <c r="X452" s="279"/>
      <c r="Y452" s="249"/>
      <c r="Z452" s="265"/>
    </row>
    <row r="453" spans="1:26" ht="18" customHeight="1">
      <c r="A453" s="313" t="str">
        <f t="shared" si="171"/>
        <v>LED Lighting FixtureTYPE "DownEA</v>
      </c>
      <c r="B453" s="321">
        <f t="shared" si="169"/>
        <v>410</v>
      </c>
      <c r="C453" s="301" t="s">
        <v>620</v>
      </c>
      <c r="D453" s="251" t="s">
        <v>622</v>
      </c>
      <c r="E453" s="252" t="s">
        <v>175</v>
      </c>
      <c r="F453" s="251">
        <v>16</v>
      </c>
      <c r="G453" s="303">
        <v>139.47999999999999</v>
      </c>
      <c r="H453" s="303">
        <v>120.61</v>
      </c>
      <c r="I453" s="251"/>
      <c r="J453" s="272">
        <f t="shared" si="172"/>
        <v>260.08999999999997</v>
      </c>
      <c r="K453" s="272">
        <f t="shared" si="173"/>
        <v>4161.4399999999996</v>
      </c>
      <c r="L453" s="273"/>
      <c r="M453" s="274">
        <f t="shared" si="174"/>
        <v>0</v>
      </c>
      <c r="N453" s="275"/>
      <c r="O453" s="276">
        <f t="shared" si="175"/>
        <v>0</v>
      </c>
      <c r="P453" s="273">
        <f t="shared" si="176"/>
        <v>0</v>
      </c>
      <c r="Q453" s="276">
        <f t="shared" si="177"/>
        <v>0</v>
      </c>
      <c r="R453" s="277">
        <f t="shared" si="178"/>
        <v>0</v>
      </c>
      <c r="S453" s="276">
        <f t="shared" si="179"/>
        <v>16</v>
      </c>
      <c r="T453" s="276">
        <f t="shared" si="180"/>
        <v>4161.4399999999996</v>
      </c>
      <c r="U453" s="276"/>
      <c r="V453" s="249">
        <v>0</v>
      </c>
      <c r="W453" s="278">
        <f>M453-V453</f>
        <v>0</v>
      </c>
      <c r="X453" s="279"/>
      <c r="Y453" s="249"/>
      <c r="Z453" s="265"/>
    </row>
    <row r="454" spans="1:26" ht="18" customHeight="1">
      <c r="A454" s="313" t="str">
        <f t="shared" si="171"/>
        <v>LED Lighting FixtureTYPE "EL"EA</v>
      </c>
      <c r="B454" s="321">
        <f t="shared" si="169"/>
        <v>411</v>
      </c>
      <c r="C454" s="301" t="s">
        <v>620</v>
      </c>
      <c r="D454" s="251" t="s">
        <v>623</v>
      </c>
      <c r="E454" s="252" t="s">
        <v>175</v>
      </c>
      <c r="F454" s="251">
        <v>11</v>
      </c>
      <c r="G454" s="303">
        <v>118.01</v>
      </c>
      <c r="H454" s="303">
        <v>114.85</v>
      </c>
      <c r="I454" s="251"/>
      <c r="J454" s="272">
        <f t="shared" si="172"/>
        <v>232.86</v>
      </c>
      <c r="K454" s="272">
        <f t="shared" si="173"/>
        <v>2561.46</v>
      </c>
      <c r="L454" s="273"/>
      <c r="M454" s="274">
        <f t="shared" si="174"/>
        <v>0</v>
      </c>
      <c r="N454" s="275"/>
      <c r="O454" s="276">
        <f t="shared" si="175"/>
        <v>0</v>
      </c>
      <c r="P454" s="273">
        <f t="shared" si="176"/>
        <v>0</v>
      </c>
      <c r="Q454" s="276">
        <f t="shared" si="177"/>
        <v>0</v>
      </c>
      <c r="R454" s="277">
        <f t="shared" si="178"/>
        <v>0</v>
      </c>
      <c r="S454" s="276">
        <f t="shared" si="179"/>
        <v>11</v>
      </c>
      <c r="T454" s="276">
        <f t="shared" si="180"/>
        <v>2561.46</v>
      </c>
      <c r="U454" s="276"/>
      <c r="V454" s="249"/>
      <c r="W454" s="278"/>
      <c r="X454" s="279"/>
      <c r="Y454" s="249"/>
      <c r="Z454" s="265"/>
    </row>
    <row r="455" spans="1:26" ht="18" customHeight="1">
      <c r="A455" s="313" t="str">
        <f t="shared" si="171"/>
        <v>LED Lighting FixtureTYPE "J1" EA</v>
      </c>
      <c r="B455" s="321">
        <f t="shared" si="169"/>
        <v>412</v>
      </c>
      <c r="C455" s="301" t="s">
        <v>620</v>
      </c>
      <c r="D455" s="251" t="s">
        <v>624</v>
      </c>
      <c r="E455" s="252" t="s">
        <v>175</v>
      </c>
      <c r="F455" s="251">
        <v>19</v>
      </c>
      <c r="G455" s="303">
        <v>88.5</v>
      </c>
      <c r="H455" s="303">
        <v>95.33</v>
      </c>
      <c r="I455" s="251"/>
      <c r="J455" s="272">
        <f t="shared" si="172"/>
        <v>183.82999999999998</v>
      </c>
      <c r="K455" s="272">
        <f t="shared" si="173"/>
        <v>3492.7699999999995</v>
      </c>
      <c r="L455" s="273"/>
      <c r="M455" s="274">
        <f t="shared" si="174"/>
        <v>0</v>
      </c>
      <c r="N455" s="275"/>
      <c r="O455" s="276">
        <f t="shared" si="175"/>
        <v>0</v>
      </c>
      <c r="P455" s="273">
        <f t="shared" si="176"/>
        <v>0</v>
      </c>
      <c r="Q455" s="276">
        <f t="shared" si="177"/>
        <v>0</v>
      </c>
      <c r="R455" s="277">
        <f t="shared" si="178"/>
        <v>0</v>
      </c>
      <c r="S455" s="276">
        <f t="shared" si="179"/>
        <v>19</v>
      </c>
      <c r="T455" s="276">
        <f t="shared" si="180"/>
        <v>3492.7699999999995</v>
      </c>
      <c r="U455" s="276"/>
      <c r="V455" s="249"/>
      <c r="W455" s="278"/>
      <c r="X455" s="279"/>
      <c r="Y455" s="249"/>
      <c r="Z455" s="265"/>
    </row>
    <row r="456" spans="1:26" ht="18" customHeight="1">
      <c r="A456" s="313" t="str">
        <f t="shared" si="171"/>
        <v>LIGHTING SUPPORTEA</v>
      </c>
      <c r="B456" s="321">
        <f t="shared" si="169"/>
        <v>413</v>
      </c>
      <c r="C456" s="301" t="s">
        <v>625</v>
      </c>
      <c r="D456" s="251"/>
      <c r="E456" s="252" t="s">
        <v>175</v>
      </c>
      <c r="F456" s="251">
        <v>19</v>
      </c>
      <c r="G456" s="303">
        <v>24.13</v>
      </c>
      <c r="H456" s="303">
        <v>70.040000000000006</v>
      </c>
      <c r="I456" s="251"/>
      <c r="J456" s="272">
        <f t="shared" si="172"/>
        <v>94.17</v>
      </c>
      <c r="K456" s="272">
        <f t="shared" si="173"/>
        <v>1789.23</v>
      </c>
      <c r="L456" s="273"/>
      <c r="M456" s="274">
        <f t="shared" si="174"/>
        <v>0</v>
      </c>
      <c r="N456" s="275"/>
      <c r="O456" s="276">
        <f t="shared" si="175"/>
        <v>0</v>
      </c>
      <c r="P456" s="273">
        <f t="shared" si="176"/>
        <v>0</v>
      </c>
      <c r="Q456" s="276">
        <f t="shared" si="177"/>
        <v>0</v>
      </c>
      <c r="R456" s="277">
        <f t="shared" si="178"/>
        <v>0</v>
      </c>
      <c r="S456" s="276">
        <f t="shared" si="179"/>
        <v>19</v>
      </c>
      <c r="T456" s="276">
        <f t="shared" si="180"/>
        <v>1789.23</v>
      </c>
      <c r="U456" s="276"/>
      <c r="V456" s="249"/>
      <c r="W456" s="278"/>
      <c r="X456" s="279"/>
      <c r="Y456" s="249"/>
      <c r="Z456" s="265"/>
    </row>
    <row r="457" spans="1:26" ht="18" customHeight="1">
      <c r="B457" s="266">
        <f t="shared" si="169"/>
        <v>414</v>
      </c>
      <c r="C457" s="301"/>
      <c r="D457" s="251"/>
      <c r="E457" s="252"/>
      <c r="F457" s="251"/>
      <c r="G457" s="303"/>
      <c r="H457" s="303"/>
      <c r="I457" s="251"/>
      <c r="J457" s="272"/>
      <c r="K457" s="272"/>
      <c r="L457" s="273"/>
      <c r="M457" s="274"/>
      <c r="N457" s="275"/>
      <c r="O457" s="276"/>
      <c r="P457" s="273"/>
      <c r="Q457" s="276"/>
      <c r="R457" s="277"/>
      <c r="S457" s="276"/>
      <c r="T457" s="276"/>
      <c r="U457" s="276"/>
      <c r="V457" s="249">
        <v>0</v>
      </c>
      <c r="W457" s="278">
        <f t="shared" ref="W457:W477" si="181">M457-V457</f>
        <v>0</v>
      </c>
      <c r="X457" s="279"/>
      <c r="Y457" s="249"/>
      <c r="Z457" s="265"/>
    </row>
    <row r="458" spans="1:26" s="304" customFormat="1" ht="18" customHeight="1">
      <c r="B458" s="281">
        <f t="shared" si="169"/>
        <v>415</v>
      </c>
      <c r="C458" s="305" t="s">
        <v>171</v>
      </c>
      <c r="D458" s="306"/>
      <c r="E458" s="307"/>
      <c r="F458" s="306"/>
      <c r="G458" s="308"/>
      <c r="H458" s="308"/>
      <c r="I458" s="306"/>
      <c r="J458" s="287"/>
      <c r="K458" s="309">
        <f>SUM(K441:K457)</f>
        <v>63568.46</v>
      </c>
      <c r="L458" s="288"/>
      <c r="M458" s="290">
        <f>SUM(M441:M457)</f>
        <v>0</v>
      </c>
      <c r="N458" s="288"/>
      <c r="O458" s="290">
        <f>SUM(O441:O457)</f>
        <v>0</v>
      </c>
      <c r="P458" s="288"/>
      <c r="Q458" s="290">
        <f>SUM(Q441:Q457)</f>
        <v>0</v>
      </c>
      <c r="R458" s="289">
        <f>IFERROR(+Q458/K458,0)</f>
        <v>0</v>
      </c>
      <c r="S458" s="290"/>
      <c r="T458" s="290">
        <f>SUM(T441:T457)</f>
        <v>63568.46</v>
      </c>
      <c r="U458" s="290"/>
      <c r="V458" s="249">
        <v>1301271.4017</v>
      </c>
      <c r="W458" s="278">
        <f t="shared" si="181"/>
        <v>-1301271.4017</v>
      </c>
      <c r="X458" s="279"/>
      <c r="Y458" s="249"/>
      <c r="Z458" s="265"/>
    </row>
    <row r="459" spans="1:26" s="217" customFormat="1" ht="18" customHeight="1">
      <c r="B459" s="260">
        <f t="shared" si="169"/>
        <v>416</v>
      </c>
      <c r="C459" s="291" t="s">
        <v>626</v>
      </c>
      <c r="D459" s="310"/>
      <c r="E459" s="293"/>
      <c r="F459" s="310"/>
      <c r="G459" s="311"/>
      <c r="H459" s="311"/>
      <c r="I459" s="310"/>
      <c r="J459" s="295"/>
      <c r="K459" s="295"/>
      <c r="L459" s="299"/>
      <c r="M459" s="296"/>
      <c r="N459" s="297"/>
      <c r="O459" s="298"/>
      <c r="P459" s="299"/>
      <c r="Q459" s="298"/>
      <c r="R459" s="300"/>
      <c r="S459" s="298"/>
      <c r="T459" s="298"/>
      <c r="U459" s="298"/>
      <c r="V459" s="249"/>
      <c r="W459" s="278">
        <f t="shared" si="181"/>
        <v>0</v>
      </c>
      <c r="X459" s="279"/>
      <c r="Y459" s="249"/>
      <c r="Z459" s="265"/>
    </row>
    <row r="460" spans="1:26" ht="18" customHeight="1">
      <c r="B460" s="266">
        <f t="shared" si="169"/>
        <v>417</v>
      </c>
      <c r="C460" s="301" t="s">
        <v>549</v>
      </c>
      <c r="D460" s="251" t="s">
        <v>596</v>
      </c>
      <c r="E460" s="252" t="s">
        <v>166</v>
      </c>
      <c r="F460" s="251">
        <v>1500</v>
      </c>
      <c r="G460" s="303">
        <v>0.85</v>
      </c>
      <c r="H460" s="303">
        <v>6.18</v>
      </c>
      <c r="I460" s="251"/>
      <c r="J460" s="272">
        <f t="shared" ref="J460:J474" si="182">I460+H460+G460</f>
        <v>7.0299999999999994</v>
      </c>
      <c r="K460" s="272">
        <f t="shared" ref="K460:K474" si="183">J460*F460</f>
        <v>10544.999999999998</v>
      </c>
      <c r="L460" s="273"/>
      <c r="M460" s="274">
        <f t="shared" ref="M460:M474" si="184">L460*J460</f>
        <v>0</v>
      </c>
      <c r="N460" s="275"/>
      <c r="O460" s="276">
        <f t="shared" ref="O460:O474" si="185">N460*J460</f>
        <v>0</v>
      </c>
      <c r="P460" s="273">
        <f t="shared" ref="P460:P474" si="186">N460+L460</f>
        <v>0</v>
      </c>
      <c r="Q460" s="276">
        <f t="shared" ref="Q460:Q474" si="187">P460*J460</f>
        <v>0</v>
      </c>
      <c r="R460" s="277">
        <f t="shared" ref="R460:R474" si="188">IFERROR(Q460/K460,0)</f>
        <v>0</v>
      </c>
      <c r="S460" s="276">
        <f t="shared" ref="S460:S474" si="189">F460-P460</f>
        <v>1500</v>
      </c>
      <c r="T460" s="276">
        <f t="shared" ref="T460:T474" si="190">K460-Q460</f>
        <v>10544.999999999998</v>
      </c>
      <c r="U460" s="276"/>
      <c r="V460" s="249">
        <v>0</v>
      </c>
      <c r="W460" s="278">
        <f t="shared" si="181"/>
        <v>0</v>
      </c>
      <c r="X460" s="279"/>
      <c r="Y460" s="249"/>
      <c r="Z460" s="265"/>
    </row>
    <row r="461" spans="1:26" ht="18" customHeight="1">
      <c r="B461" s="266">
        <f t="shared" si="169"/>
        <v>418</v>
      </c>
      <c r="C461" s="301" t="s">
        <v>554</v>
      </c>
      <c r="D461" s="251" t="s">
        <v>597</v>
      </c>
      <c r="E461" s="252" t="s">
        <v>234</v>
      </c>
      <c r="F461" s="251">
        <v>300</v>
      </c>
      <c r="G461" s="303">
        <v>5.36</v>
      </c>
      <c r="H461" s="303">
        <v>25.24</v>
      </c>
      <c r="I461" s="251"/>
      <c r="J461" s="272">
        <f t="shared" si="182"/>
        <v>30.599999999999998</v>
      </c>
      <c r="K461" s="272">
        <f t="shared" si="183"/>
        <v>9180</v>
      </c>
      <c r="L461" s="273"/>
      <c r="M461" s="274">
        <f t="shared" si="184"/>
        <v>0</v>
      </c>
      <c r="N461" s="275"/>
      <c r="O461" s="276">
        <f t="shared" si="185"/>
        <v>0</v>
      </c>
      <c r="P461" s="273">
        <f t="shared" si="186"/>
        <v>0</v>
      </c>
      <c r="Q461" s="276">
        <f t="shared" si="187"/>
        <v>0</v>
      </c>
      <c r="R461" s="277">
        <f t="shared" si="188"/>
        <v>0</v>
      </c>
      <c r="S461" s="276">
        <f t="shared" si="189"/>
        <v>300</v>
      </c>
      <c r="T461" s="276">
        <f t="shared" si="190"/>
        <v>9180</v>
      </c>
      <c r="U461" s="276"/>
      <c r="V461" s="249">
        <v>0</v>
      </c>
      <c r="W461" s="278">
        <f t="shared" si="181"/>
        <v>0</v>
      </c>
      <c r="X461" s="279"/>
      <c r="Y461" s="249"/>
      <c r="Z461" s="265"/>
    </row>
    <row r="462" spans="1:26" ht="18" customHeight="1">
      <c r="B462" s="266">
        <f t="shared" si="169"/>
        <v>419</v>
      </c>
      <c r="C462" s="301" t="s">
        <v>566</v>
      </c>
      <c r="D462" s="251" t="s">
        <v>608</v>
      </c>
      <c r="E462" s="252" t="s">
        <v>166</v>
      </c>
      <c r="F462" s="251">
        <v>1350</v>
      </c>
      <c r="G462" s="303">
        <v>0.28000000000000003</v>
      </c>
      <c r="H462" s="303">
        <v>1.27</v>
      </c>
      <c r="I462" s="251"/>
      <c r="J462" s="272">
        <f t="shared" si="182"/>
        <v>1.55</v>
      </c>
      <c r="K462" s="272">
        <f t="shared" si="183"/>
        <v>2092.5</v>
      </c>
      <c r="L462" s="273"/>
      <c r="M462" s="274">
        <f t="shared" si="184"/>
        <v>0</v>
      </c>
      <c r="N462" s="275"/>
      <c r="O462" s="276">
        <f t="shared" si="185"/>
        <v>0</v>
      </c>
      <c r="P462" s="273">
        <f t="shared" si="186"/>
        <v>0</v>
      </c>
      <c r="Q462" s="276">
        <f t="shared" si="187"/>
        <v>0</v>
      </c>
      <c r="R462" s="277">
        <f t="shared" si="188"/>
        <v>0</v>
      </c>
      <c r="S462" s="276">
        <f t="shared" si="189"/>
        <v>1350</v>
      </c>
      <c r="T462" s="276">
        <f t="shared" si="190"/>
        <v>2092.5</v>
      </c>
      <c r="U462" s="276"/>
      <c r="V462" s="249">
        <v>0</v>
      </c>
      <c r="W462" s="278">
        <f t="shared" si="181"/>
        <v>0</v>
      </c>
      <c r="X462" s="279"/>
      <c r="Y462" s="249"/>
      <c r="Z462" s="265"/>
    </row>
    <row r="463" spans="1:26" ht="18" customHeight="1">
      <c r="B463" s="266">
        <f t="shared" si="169"/>
        <v>420</v>
      </c>
      <c r="C463" s="301" t="s">
        <v>609</v>
      </c>
      <c r="D463" s="251" t="s">
        <v>600</v>
      </c>
      <c r="E463" s="252" t="s">
        <v>166</v>
      </c>
      <c r="F463" s="251">
        <v>400</v>
      </c>
      <c r="G463" s="303">
        <v>1.1100000000000001</v>
      </c>
      <c r="H463" s="303">
        <v>2.16</v>
      </c>
      <c r="I463" s="251"/>
      <c r="J463" s="272">
        <f t="shared" si="182"/>
        <v>3.2700000000000005</v>
      </c>
      <c r="K463" s="272">
        <f t="shared" si="183"/>
        <v>1308.0000000000002</v>
      </c>
      <c r="L463" s="273"/>
      <c r="M463" s="274">
        <f t="shared" si="184"/>
        <v>0</v>
      </c>
      <c r="N463" s="275"/>
      <c r="O463" s="276">
        <f t="shared" si="185"/>
        <v>0</v>
      </c>
      <c r="P463" s="273">
        <f t="shared" si="186"/>
        <v>0</v>
      </c>
      <c r="Q463" s="276">
        <f t="shared" si="187"/>
        <v>0</v>
      </c>
      <c r="R463" s="277">
        <f t="shared" si="188"/>
        <v>0</v>
      </c>
      <c r="S463" s="276">
        <f t="shared" si="189"/>
        <v>400</v>
      </c>
      <c r="T463" s="276">
        <f t="shared" si="190"/>
        <v>1308.0000000000002</v>
      </c>
      <c r="U463" s="276"/>
      <c r="V463" s="249">
        <v>0</v>
      </c>
      <c r="W463" s="278">
        <f t="shared" si="181"/>
        <v>0</v>
      </c>
      <c r="X463" s="279"/>
      <c r="Y463" s="249"/>
      <c r="Z463" s="265"/>
    </row>
    <row r="464" spans="1:26" ht="18" customHeight="1">
      <c r="B464" s="266">
        <f t="shared" si="169"/>
        <v>421</v>
      </c>
      <c r="C464" s="301" t="s">
        <v>609</v>
      </c>
      <c r="D464" s="251" t="s">
        <v>610</v>
      </c>
      <c r="E464" s="252" t="s">
        <v>166</v>
      </c>
      <c r="F464" s="251">
        <v>400</v>
      </c>
      <c r="G464" s="303">
        <v>0.89</v>
      </c>
      <c r="H464" s="303">
        <v>1.92</v>
      </c>
      <c r="I464" s="251"/>
      <c r="J464" s="272">
        <f t="shared" si="182"/>
        <v>2.81</v>
      </c>
      <c r="K464" s="272">
        <f t="shared" si="183"/>
        <v>1124</v>
      </c>
      <c r="L464" s="273"/>
      <c r="M464" s="274">
        <f t="shared" si="184"/>
        <v>0</v>
      </c>
      <c r="N464" s="275"/>
      <c r="O464" s="276">
        <f t="shared" si="185"/>
        <v>0</v>
      </c>
      <c r="P464" s="273">
        <f t="shared" si="186"/>
        <v>0</v>
      </c>
      <c r="Q464" s="276">
        <f t="shared" si="187"/>
        <v>0</v>
      </c>
      <c r="R464" s="277">
        <f t="shared" si="188"/>
        <v>0</v>
      </c>
      <c r="S464" s="276">
        <f t="shared" si="189"/>
        <v>400</v>
      </c>
      <c r="T464" s="276">
        <f t="shared" si="190"/>
        <v>1124</v>
      </c>
      <c r="U464" s="276"/>
      <c r="V464" s="249">
        <v>0</v>
      </c>
      <c r="W464" s="278">
        <f t="shared" si="181"/>
        <v>0</v>
      </c>
      <c r="X464" s="279"/>
      <c r="Y464" s="249"/>
      <c r="Z464" s="265"/>
    </row>
    <row r="465" spans="2:26" ht="18" customHeight="1">
      <c r="B465" s="266">
        <f t="shared" si="169"/>
        <v>422</v>
      </c>
      <c r="C465" s="301" t="s">
        <v>611</v>
      </c>
      <c r="D465" s="251" t="s">
        <v>600</v>
      </c>
      <c r="E465" s="252" t="s">
        <v>166</v>
      </c>
      <c r="F465" s="251">
        <v>600</v>
      </c>
      <c r="G465" s="303">
        <v>1.7</v>
      </c>
      <c r="H465" s="303">
        <v>2.84</v>
      </c>
      <c r="I465" s="251"/>
      <c r="J465" s="272">
        <f t="shared" si="182"/>
        <v>4.54</v>
      </c>
      <c r="K465" s="272">
        <f t="shared" si="183"/>
        <v>2724</v>
      </c>
      <c r="L465" s="273"/>
      <c r="M465" s="274">
        <f t="shared" si="184"/>
        <v>0</v>
      </c>
      <c r="N465" s="275"/>
      <c r="O465" s="276">
        <f t="shared" si="185"/>
        <v>0</v>
      </c>
      <c r="P465" s="273">
        <f t="shared" si="186"/>
        <v>0</v>
      </c>
      <c r="Q465" s="276">
        <f t="shared" si="187"/>
        <v>0</v>
      </c>
      <c r="R465" s="277">
        <f t="shared" si="188"/>
        <v>0</v>
      </c>
      <c r="S465" s="276">
        <f t="shared" si="189"/>
        <v>600</v>
      </c>
      <c r="T465" s="276">
        <f t="shared" si="190"/>
        <v>2724</v>
      </c>
      <c r="U465" s="276"/>
      <c r="V465" s="249">
        <v>0</v>
      </c>
      <c r="W465" s="278">
        <f t="shared" si="181"/>
        <v>0</v>
      </c>
      <c r="X465" s="279"/>
      <c r="Y465" s="249"/>
      <c r="Z465" s="265"/>
    </row>
    <row r="466" spans="2:26" ht="18" customHeight="1">
      <c r="B466" s="266">
        <f t="shared" si="169"/>
        <v>423</v>
      </c>
      <c r="C466" s="301" t="s">
        <v>611</v>
      </c>
      <c r="D466" s="251" t="s">
        <v>610</v>
      </c>
      <c r="E466" s="252" t="s">
        <v>166</v>
      </c>
      <c r="F466" s="251">
        <v>600</v>
      </c>
      <c r="G466" s="303">
        <v>1.39</v>
      </c>
      <c r="H466" s="303">
        <v>2.54</v>
      </c>
      <c r="I466" s="251"/>
      <c r="J466" s="272">
        <f t="shared" si="182"/>
        <v>3.9299999999999997</v>
      </c>
      <c r="K466" s="272">
        <f t="shared" si="183"/>
        <v>2358</v>
      </c>
      <c r="L466" s="273"/>
      <c r="M466" s="274">
        <f t="shared" si="184"/>
        <v>0</v>
      </c>
      <c r="N466" s="275"/>
      <c r="O466" s="276">
        <f t="shared" si="185"/>
        <v>0</v>
      </c>
      <c r="P466" s="273">
        <f t="shared" si="186"/>
        <v>0</v>
      </c>
      <c r="Q466" s="276">
        <f t="shared" si="187"/>
        <v>0</v>
      </c>
      <c r="R466" s="277">
        <f t="shared" si="188"/>
        <v>0</v>
      </c>
      <c r="S466" s="276">
        <f t="shared" si="189"/>
        <v>600</v>
      </c>
      <c r="T466" s="276">
        <f t="shared" si="190"/>
        <v>2358</v>
      </c>
      <c r="U466" s="276"/>
      <c r="V466" s="249">
        <v>0</v>
      </c>
      <c r="W466" s="278">
        <f t="shared" si="181"/>
        <v>0</v>
      </c>
      <c r="X466" s="279"/>
      <c r="Y466" s="249"/>
      <c r="Z466" s="265"/>
    </row>
    <row r="467" spans="2:26" ht="18" customHeight="1">
      <c r="B467" s="266">
        <f t="shared" si="169"/>
        <v>424</v>
      </c>
      <c r="C467" s="301" t="s">
        <v>612</v>
      </c>
      <c r="D467" s="251" t="s">
        <v>613</v>
      </c>
      <c r="E467" s="252" t="s">
        <v>175</v>
      </c>
      <c r="F467" s="251">
        <v>240</v>
      </c>
      <c r="G467" s="303">
        <v>3.2</v>
      </c>
      <c r="H467" s="303">
        <v>17.78</v>
      </c>
      <c r="I467" s="251"/>
      <c r="J467" s="272">
        <f t="shared" si="182"/>
        <v>20.98</v>
      </c>
      <c r="K467" s="272">
        <f t="shared" si="183"/>
        <v>5035.2</v>
      </c>
      <c r="L467" s="273"/>
      <c r="M467" s="274">
        <f t="shared" si="184"/>
        <v>0</v>
      </c>
      <c r="N467" s="275"/>
      <c r="O467" s="276">
        <f t="shared" si="185"/>
        <v>0</v>
      </c>
      <c r="P467" s="273">
        <f t="shared" si="186"/>
        <v>0</v>
      </c>
      <c r="Q467" s="276">
        <f t="shared" si="187"/>
        <v>0</v>
      </c>
      <c r="R467" s="277">
        <f t="shared" si="188"/>
        <v>0</v>
      </c>
      <c r="S467" s="276">
        <f t="shared" si="189"/>
        <v>240</v>
      </c>
      <c r="T467" s="276">
        <f t="shared" si="190"/>
        <v>5035.2</v>
      </c>
      <c r="U467" s="276"/>
      <c r="V467" s="249">
        <v>0</v>
      </c>
      <c r="W467" s="278">
        <f t="shared" si="181"/>
        <v>0</v>
      </c>
      <c r="X467" s="279"/>
      <c r="Y467" s="249"/>
      <c r="Z467" s="265"/>
    </row>
    <row r="468" spans="2:26" ht="18" customHeight="1">
      <c r="B468" s="266">
        <f t="shared" si="169"/>
        <v>425</v>
      </c>
      <c r="C468" s="301" t="s">
        <v>614</v>
      </c>
      <c r="D468" s="251" t="s">
        <v>615</v>
      </c>
      <c r="E468" s="252" t="s">
        <v>175</v>
      </c>
      <c r="F468" s="251">
        <v>90</v>
      </c>
      <c r="G468" s="303">
        <v>4.28</v>
      </c>
      <c r="H468" s="303">
        <v>15.46</v>
      </c>
      <c r="I468" s="251"/>
      <c r="J468" s="272">
        <f t="shared" si="182"/>
        <v>19.740000000000002</v>
      </c>
      <c r="K468" s="272">
        <f t="shared" si="183"/>
        <v>1776.6000000000001</v>
      </c>
      <c r="L468" s="273"/>
      <c r="M468" s="274">
        <f t="shared" si="184"/>
        <v>0</v>
      </c>
      <c r="N468" s="275"/>
      <c r="O468" s="276">
        <f t="shared" si="185"/>
        <v>0</v>
      </c>
      <c r="P468" s="273">
        <f t="shared" si="186"/>
        <v>0</v>
      </c>
      <c r="Q468" s="276">
        <f t="shared" si="187"/>
        <v>0</v>
      </c>
      <c r="R468" s="277">
        <f t="shared" si="188"/>
        <v>0</v>
      </c>
      <c r="S468" s="276">
        <f t="shared" si="189"/>
        <v>90</v>
      </c>
      <c r="T468" s="276">
        <f t="shared" si="190"/>
        <v>1776.6000000000001</v>
      </c>
      <c r="U468" s="276"/>
      <c r="V468" s="249">
        <v>0</v>
      </c>
      <c r="W468" s="278">
        <f t="shared" si="181"/>
        <v>0</v>
      </c>
      <c r="X468" s="279"/>
      <c r="Y468" s="249"/>
      <c r="Z468" s="265"/>
    </row>
    <row r="469" spans="2:26" ht="18" customHeight="1">
      <c r="B469" s="266">
        <f t="shared" si="169"/>
        <v>426</v>
      </c>
      <c r="C469" s="301" t="s">
        <v>581</v>
      </c>
      <c r="D469" s="251" t="s">
        <v>602</v>
      </c>
      <c r="E469" s="252" t="s">
        <v>175</v>
      </c>
      <c r="F469" s="251">
        <v>80</v>
      </c>
      <c r="G469" s="303">
        <v>9.66</v>
      </c>
      <c r="H469" s="303">
        <v>44.78</v>
      </c>
      <c r="I469" s="251"/>
      <c r="J469" s="272">
        <f t="shared" si="182"/>
        <v>54.44</v>
      </c>
      <c r="K469" s="272">
        <f t="shared" si="183"/>
        <v>4355.2</v>
      </c>
      <c r="L469" s="273"/>
      <c r="M469" s="274">
        <f t="shared" si="184"/>
        <v>0</v>
      </c>
      <c r="N469" s="275"/>
      <c r="O469" s="276">
        <f t="shared" si="185"/>
        <v>0</v>
      </c>
      <c r="P469" s="273">
        <f t="shared" si="186"/>
        <v>0</v>
      </c>
      <c r="Q469" s="276">
        <f t="shared" si="187"/>
        <v>0</v>
      </c>
      <c r="R469" s="277">
        <f t="shared" si="188"/>
        <v>0</v>
      </c>
      <c r="S469" s="276">
        <f t="shared" si="189"/>
        <v>80</v>
      </c>
      <c r="T469" s="276">
        <f t="shared" si="190"/>
        <v>4355.2</v>
      </c>
      <c r="U469" s="276"/>
      <c r="V469" s="249">
        <v>0</v>
      </c>
      <c r="W469" s="278">
        <f t="shared" si="181"/>
        <v>0</v>
      </c>
      <c r="X469" s="279"/>
      <c r="Y469" s="249"/>
      <c r="Z469" s="265"/>
    </row>
    <row r="470" spans="2:26" ht="18" customHeight="1">
      <c r="B470" s="266">
        <f t="shared" si="169"/>
        <v>427</v>
      </c>
      <c r="C470" s="301" t="s">
        <v>571</v>
      </c>
      <c r="D470" s="251" t="s">
        <v>601</v>
      </c>
      <c r="E470" s="252" t="s">
        <v>175</v>
      </c>
      <c r="F470" s="251">
        <v>180</v>
      </c>
      <c r="G470" s="303">
        <v>3.74</v>
      </c>
      <c r="H470" s="303">
        <v>14.88</v>
      </c>
      <c r="I470" s="251"/>
      <c r="J470" s="272">
        <f t="shared" si="182"/>
        <v>18.62</v>
      </c>
      <c r="K470" s="272">
        <f t="shared" si="183"/>
        <v>3351.6000000000004</v>
      </c>
      <c r="L470" s="273"/>
      <c r="M470" s="274">
        <f t="shared" si="184"/>
        <v>0</v>
      </c>
      <c r="N470" s="275"/>
      <c r="O470" s="276">
        <f t="shared" si="185"/>
        <v>0</v>
      </c>
      <c r="P470" s="273">
        <f t="shared" si="186"/>
        <v>0</v>
      </c>
      <c r="Q470" s="276">
        <f t="shared" si="187"/>
        <v>0</v>
      </c>
      <c r="R470" s="277">
        <f t="shared" si="188"/>
        <v>0</v>
      </c>
      <c r="S470" s="276">
        <f t="shared" si="189"/>
        <v>180</v>
      </c>
      <c r="T470" s="276">
        <f t="shared" si="190"/>
        <v>3351.6000000000004</v>
      </c>
      <c r="U470" s="276"/>
      <c r="V470" s="249">
        <v>0</v>
      </c>
      <c r="W470" s="278">
        <f t="shared" si="181"/>
        <v>0</v>
      </c>
      <c r="X470" s="279"/>
      <c r="Y470" s="249"/>
      <c r="Z470" s="265"/>
    </row>
    <row r="471" spans="2:26" ht="18" customHeight="1">
      <c r="B471" s="266">
        <f t="shared" si="169"/>
        <v>428</v>
      </c>
      <c r="C471" s="301" t="s">
        <v>571</v>
      </c>
      <c r="D471" s="251" t="s">
        <v>616</v>
      </c>
      <c r="E471" s="252" t="s">
        <v>175</v>
      </c>
      <c r="F471" s="251">
        <v>180</v>
      </c>
      <c r="G471" s="303">
        <v>2.14</v>
      </c>
      <c r="H471" s="303">
        <v>11.45</v>
      </c>
      <c r="I471" s="251"/>
      <c r="J471" s="272">
        <f t="shared" si="182"/>
        <v>13.59</v>
      </c>
      <c r="K471" s="272">
        <f t="shared" si="183"/>
        <v>2446.1999999999998</v>
      </c>
      <c r="L471" s="273"/>
      <c r="M471" s="274">
        <f t="shared" si="184"/>
        <v>0</v>
      </c>
      <c r="N471" s="275"/>
      <c r="O471" s="276">
        <f t="shared" si="185"/>
        <v>0</v>
      </c>
      <c r="P471" s="273">
        <f t="shared" si="186"/>
        <v>0</v>
      </c>
      <c r="Q471" s="276">
        <f t="shared" si="187"/>
        <v>0</v>
      </c>
      <c r="R471" s="277">
        <f t="shared" si="188"/>
        <v>0</v>
      </c>
      <c r="S471" s="276">
        <f t="shared" si="189"/>
        <v>180</v>
      </c>
      <c r="T471" s="276">
        <f t="shared" si="190"/>
        <v>2446.1999999999998</v>
      </c>
      <c r="U471" s="276"/>
      <c r="V471" s="249">
        <v>0</v>
      </c>
      <c r="W471" s="278">
        <f t="shared" si="181"/>
        <v>0</v>
      </c>
      <c r="X471" s="279"/>
      <c r="Y471" s="249"/>
      <c r="Z471" s="265"/>
    </row>
    <row r="472" spans="2:26" ht="18" customHeight="1">
      <c r="B472" s="266">
        <f t="shared" si="169"/>
        <v>429</v>
      </c>
      <c r="C472" s="314" t="s">
        <v>627</v>
      </c>
      <c r="D472" s="315" t="s">
        <v>628</v>
      </c>
      <c r="E472" s="316" t="s">
        <v>175</v>
      </c>
      <c r="F472" s="315">
        <v>15</v>
      </c>
      <c r="G472" s="317">
        <v>15</v>
      </c>
      <c r="H472" s="317">
        <v>52.84</v>
      </c>
      <c r="I472" s="315"/>
      <c r="J472" s="318">
        <f t="shared" si="182"/>
        <v>67.84</v>
      </c>
      <c r="K472" s="318">
        <f t="shared" si="183"/>
        <v>1017.6</v>
      </c>
      <c r="L472" s="273"/>
      <c r="M472" s="274">
        <f t="shared" si="184"/>
        <v>0</v>
      </c>
      <c r="N472" s="275"/>
      <c r="O472" s="276">
        <f t="shared" si="185"/>
        <v>0</v>
      </c>
      <c r="P472" s="273">
        <f t="shared" si="186"/>
        <v>0</v>
      </c>
      <c r="Q472" s="276">
        <f t="shared" si="187"/>
        <v>0</v>
      </c>
      <c r="R472" s="319">
        <f t="shared" si="188"/>
        <v>0</v>
      </c>
      <c r="S472" s="214">
        <f t="shared" si="189"/>
        <v>15</v>
      </c>
      <c r="T472" s="214">
        <f t="shared" si="190"/>
        <v>1017.6</v>
      </c>
      <c r="U472" s="276"/>
      <c r="V472" s="249">
        <v>0</v>
      </c>
      <c r="W472" s="278">
        <f t="shared" si="181"/>
        <v>0</v>
      </c>
      <c r="X472" s="279"/>
      <c r="Y472" s="249"/>
      <c r="Z472" s="265"/>
    </row>
    <row r="473" spans="2:26" ht="18" customHeight="1">
      <c r="B473" s="266">
        <f t="shared" si="169"/>
        <v>430</v>
      </c>
      <c r="C473" s="314" t="s">
        <v>627</v>
      </c>
      <c r="D473" s="251" t="s">
        <v>629</v>
      </c>
      <c r="E473" s="252" t="s">
        <v>175</v>
      </c>
      <c r="F473" s="251">
        <v>15</v>
      </c>
      <c r="G473" s="303">
        <v>34.86</v>
      </c>
      <c r="H473" s="303">
        <v>60.86</v>
      </c>
      <c r="I473" s="251"/>
      <c r="J473" s="272">
        <f t="shared" si="182"/>
        <v>95.72</v>
      </c>
      <c r="K473" s="272">
        <f t="shared" si="183"/>
        <v>1435.8</v>
      </c>
      <c r="L473" s="273"/>
      <c r="M473" s="274">
        <f t="shared" si="184"/>
        <v>0</v>
      </c>
      <c r="N473" s="275"/>
      <c r="O473" s="276">
        <f t="shared" si="185"/>
        <v>0</v>
      </c>
      <c r="P473" s="273">
        <f t="shared" si="186"/>
        <v>0</v>
      </c>
      <c r="Q473" s="276">
        <f t="shared" si="187"/>
        <v>0</v>
      </c>
      <c r="R473" s="277">
        <f t="shared" si="188"/>
        <v>0</v>
      </c>
      <c r="S473" s="276">
        <f t="shared" si="189"/>
        <v>15</v>
      </c>
      <c r="T473" s="276">
        <f t="shared" si="190"/>
        <v>1435.8</v>
      </c>
      <c r="U473" s="276"/>
      <c r="V473" s="249">
        <v>0</v>
      </c>
      <c r="W473" s="278">
        <f t="shared" si="181"/>
        <v>0</v>
      </c>
      <c r="X473" s="279"/>
      <c r="Y473" s="249"/>
      <c r="Z473" s="265"/>
    </row>
    <row r="474" spans="2:26" ht="18" customHeight="1">
      <c r="B474" s="266">
        <f t="shared" si="169"/>
        <v>431</v>
      </c>
      <c r="C474" s="301" t="s">
        <v>630</v>
      </c>
      <c r="D474" s="251" t="s">
        <v>631</v>
      </c>
      <c r="E474" s="252" t="s">
        <v>175</v>
      </c>
      <c r="F474" s="251">
        <v>2</v>
      </c>
      <c r="G474" s="303">
        <v>15</v>
      </c>
      <c r="H474" s="303">
        <v>22.96</v>
      </c>
      <c r="I474" s="251"/>
      <c r="J474" s="272">
        <f t="shared" si="182"/>
        <v>37.96</v>
      </c>
      <c r="K474" s="272">
        <f t="shared" si="183"/>
        <v>75.92</v>
      </c>
      <c r="L474" s="273"/>
      <c r="M474" s="274">
        <f t="shared" si="184"/>
        <v>0</v>
      </c>
      <c r="N474" s="275"/>
      <c r="O474" s="276">
        <f t="shared" si="185"/>
        <v>0</v>
      </c>
      <c r="P474" s="273">
        <f t="shared" si="186"/>
        <v>0</v>
      </c>
      <c r="Q474" s="276">
        <f t="shared" si="187"/>
        <v>0</v>
      </c>
      <c r="R474" s="277">
        <f t="shared" si="188"/>
        <v>0</v>
      </c>
      <c r="S474" s="276">
        <f t="shared" si="189"/>
        <v>2</v>
      </c>
      <c r="T474" s="272">
        <f t="shared" si="190"/>
        <v>75.92</v>
      </c>
      <c r="U474" s="276"/>
      <c r="V474" s="249">
        <v>0</v>
      </c>
      <c r="W474" s="278">
        <f t="shared" si="181"/>
        <v>0</v>
      </c>
      <c r="X474" s="279"/>
      <c r="Y474" s="249"/>
      <c r="Z474" s="265"/>
    </row>
    <row r="475" spans="2:26" ht="18" customHeight="1">
      <c r="B475" s="266">
        <f t="shared" si="169"/>
        <v>432</v>
      </c>
      <c r="C475" s="267"/>
      <c r="D475" s="251"/>
      <c r="E475" s="252"/>
      <c r="F475" s="251"/>
      <c r="G475" s="303"/>
      <c r="H475" s="303"/>
      <c r="I475" s="251"/>
      <c r="J475" s="272"/>
      <c r="K475" s="272"/>
      <c r="L475" s="273"/>
      <c r="M475" s="274"/>
      <c r="N475" s="275"/>
      <c r="O475" s="276"/>
      <c r="P475" s="273"/>
      <c r="Q475" s="276"/>
      <c r="R475" s="277"/>
      <c r="S475" s="276"/>
      <c r="T475" s="276"/>
      <c r="U475" s="276"/>
      <c r="V475" s="249">
        <v>0</v>
      </c>
      <c r="W475" s="278">
        <f t="shared" si="181"/>
        <v>0</v>
      </c>
      <c r="X475" s="279"/>
      <c r="Y475" s="249"/>
      <c r="Z475" s="265"/>
    </row>
    <row r="476" spans="2:26" s="304" customFormat="1" ht="18" customHeight="1">
      <c r="B476" s="281">
        <f t="shared" si="169"/>
        <v>433</v>
      </c>
      <c r="C476" s="305" t="s">
        <v>171</v>
      </c>
      <c r="D476" s="306"/>
      <c r="E476" s="307"/>
      <c r="F476" s="306"/>
      <c r="G476" s="308"/>
      <c r="H476" s="308"/>
      <c r="I476" s="306"/>
      <c r="J476" s="287"/>
      <c r="K476" s="309">
        <f>SUM(K460:K475)</f>
        <v>48825.619999999988</v>
      </c>
      <c r="L476" s="288"/>
      <c r="M476" s="309">
        <f>SUM(M460:M475)</f>
        <v>0</v>
      </c>
      <c r="N476" s="288"/>
      <c r="O476" s="290">
        <f>SUM(O460:O475)</f>
        <v>0</v>
      </c>
      <c r="P476" s="288"/>
      <c r="Q476" s="309">
        <f>SUM(Q460:Q475)</f>
        <v>0</v>
      </c>
      <c r="R476" s="289">
        <f>IFERROR(+Q476/K476,0)</f>
        <v>0</v>
      </c>
      <c r="S476" s="290"/>
      <c r="T476" s="290">
        <f>SUM(T460:T475)</f>
        <v>48825.619999999988</v>
      </c>
      <c r="U476" s="290"/>
      <c r="V476" s="249">
        <v>0</v>
      </c>
      <c r="W476" s="278">
        <f t="shared" si="181"/>
        <v>0</v>
      </c>
      <c r="X476" s="279"/>
      <c r="Y476" s="249"/>
      <c r="Z476" s="265"/>
    </row>
    <row r="477" spans="2:26" s="217" customFormat="1" ht="18" customHeight="1">
      <c r="B477" s="260">
        <f t="shared" si="169"/>
        <v>434</v>
      </c>
      <c r="C477" s="291" t="s">
        <v>632</v>
      </c>
      <c r="D477" s="310"/>
      <c r="E477" s="293"/>
      <c r="F477" s="310"/>
      <c r="G477" s="311"/>
      <c r="H477" s="311"/>
      <c r="I477" s="310"/>
      <c r="J477" s="295"/>
      <c r="K477" s="295"/>
      <c r="L477" s="299"/>
      <c r="M477" s="296"/>
      <c r="N477" s="297"/>
      <c r="O477" s="298"/>
      <c r="P477" s="299"/>
      <c r="Q477" s="298"/>
      <c r="R477" s="300"/>
      <c r="S477" s="298"/>
      <c r="T477" s="298"/>
      <c r="U477" s="298"/>
      <c r="V477" s="249"/>
      <c r="W477" s="278">
        <f t="shared" si="181"/>
        <v>0</v>
      </c>
      <c r="X477" s="279"/>
      <c r="Y477" s="249"/>
      <c r="Z477" s="265"/>
    </row>
    <row r="478" spans="2:26" ht="18" customHeight="1">
      <c r="B478" s="321">
        <f t="shared" si="169"/>
        <v>435</v>
      </c>
      <c r="C478" s="301" t="s">
        <v>633</v>
      </c>
      <c r="D478" s="251" t="s">
        <v>634</v>
      </c>
      <c r="E478" s="252" t="s">
        <v>158</v>
      </c>
      <c r="F478" s="251">
        <v>1</v>
      </c>
      <c r="G478" s="303">
        <v>0</v>
      </c>
      <c r="H478" s="303">
        <v>29452.91</v>
      </c>
      <c r="I478" s="251"/>
      <c r="J478" s="272">
        <f t="shared" ref="J478:J483" si="191">I478+H478+G478</f>
        <v>29452.91</v>
      </c>
      <c r="K478" s="272">
        <f t="shared" ref="K478:K483" si="192">J478*F478</f>
        <v>29452.91</v>
      </c>
      <c r="L478" s="273"/>
      <c r="M478" s="274">
        <f t="shared" ref="M478:M483" si="193">L478*J478</f>
        <v>0</v>
      </c>
      <c r="N478" s="275"/>
      <c r="O478" s="276">
        <f t="shared" ref="O478:O483" si="194">N478*J478</f>
        <v>0</v>
      </c>
      <c r="P478" s="273">
        <f t="shared" ref="P478:P483" si="195">N478+L478</f>
        <v>0</v>
      </c>
      <c r="Q478" s="276">
        <f t="shared" ref="Q478:Q483" si="196">P478*J478</f>
        <v>0</v>
      </c>
      <c r="R478" s="277">
        <f t="shared" ref="R478:R483" si="197">IFERROR(Q478/K478,0)</f>
        <v>0</v>
      </c>
      <c r="S478" s="276">
        <f t="shared" ref="S478:S483" si="198">F478-P478</f>
        <v>1</v>
      </c>
      <c r="T478" s="276">
        <f t="shared" ref="T478:T483" si="199">K478-Q478</f>
        <v>29452.91</v>
      </c>
      <c r="U478" s="276"/>
      <c r="V478" s="249"/>
      <c r="W478" s="278"/>
      <c r="X478" s="279"/>
      <c r="Y478" s="249"/>
      <c r="Z478" s="265"/>
    </row>
    <row r="479" spans="2:26" ht="18" customHeight="1">
      <c r="B479" s="266">
        <f t="shared" si="169"/>
        <v>436</v>
      </c>
      <c r="C479" s="301" t="s">
        <v>635</v>
      </c>
      <c r="D479" s="251"/>
      <c r="E479" s="252" t="s">
        <v>158</v>
      </c>
      <c r="F479" s="251">
        <v>1</v>
      </c>
      <c r="G479" s="303">
        <v>0</v>
      </c>
      <c r="H479" s="303">
        <v>7965.88</v>
      </c>
      <c r="I479" s="251"/>
      <c r="J479" s="272">
        <f t="shared" si="191"/>
        <v>7965.88</v>
      </c>
      <c r="K479" s="272">
        <f t="shared" si="192"/>
        <v>7965.88</v>
      </c>
      <c r="L479" s="273"/>
      <c r="M479" s="274">
        <f t="shared" si="193"/>
        <v>0</v>
      </c>
      <c r="N479" s="275"/>
      <c r="O479" s="276">
        <f t="shared" si="194"/>
        <v>0</v>
      </c>
      <c r="P479" s="273">
        <f t="shared" si="195"/>
        <v>0</v>
      </c>
      <c r="Q479" s="276">
        <f t="shared" si="196"/>
        <v>0</v>
      </c>
      <c r="R479" s="277">
        <f t="shared" si="197"/>
        <v>0</v>
      </c>
      <c r="S479" s="276">
        <f t="shared" si="198"/>
        <v>1</v>
      </c>
      <c r="T479" s="276">
        <f t="shared" si="199"/>
        <v>7965.88</v>
      </c>
      <c r="U479" s="276"/>
      <c r="V479" s="249"/>
      <c r="W479" s="278"/>
      <c r="X479" s="279"/>
      <c r="Y479" s="249"/>
      <c r="Z479" s="265"/>
    </row>
    <row r="480" spans="2:26" ht="18" customHeight="1">
      <c r="B480" s="321">
        <f t="shared" si="169"/>
        <v>437</v>
      </c>
      <c r="C480" s="301" t="s">
        <v>636</v>
      </c>
      <c r="D480" s="251" t="s">
        <v>637</v>
      </c>
      <c r="E480" s="252" t="s">
        <v>637</v>
      </c>
      <c r="F480" s="251">
        <v>10</v>
      </c>
      <c r="G480" s="303">
        <v>24.13</v>
      </c>
      <c r="H480" s="303">
        <v>51.37</v>
      </c>
      <c r="I480" s="251"/>
      <c r="J480" s="272">
        <f t="shared" si="191"/>
        <v>75.5</v>
      </c>
      <c r="K480" s="272">
        <f t="shared" si="192"/>
        <v>755</v>
      </c>
      <c r="L480" s="273"/>
      <c r="M480" s="274">
        <f t="shared" si="193"/>
        <v>0</v>
      </c>
      <c r="N480" s="275"/>
      <c r="O480" s="276">
        <f t="shared" si="194"/>
        <v>0</v>
      </c>
      <c r="P480" s="273">
        <f t="shared" si="195"/>
        <v>0</v>
      </c>
      <c r="Q480" s="276">
        <f t="shared" si="196"/>
        <v>0</v>
      </c>
      <c r="R480" s="277">
        <f t="shared" si="197"/>
        <v>0</v>
      </c>
      <c r="S480" s="276">
        <f t="shared" si="198"/>
        <v>10</v>
      </c>
      <c r="T480" s="276">
        <f t="shared" si="199"/>
        <v>755</v>
      </c>
      <c r="U480" s="276"/>
      <c r="V480" s="249"/>
      <c r="W480" s="278"/>
      <c r="X480" s="279"/>
      <c r="Y480" s="249"/>
      <c r="Z480" s="265"/>
    </row>
    <row r="481" spans="2:26" ht="18" customHeight="1">
      <c r="B481" s="266">
        <f t="shared" si="169"/>
        <v>438</v>
      </c>
      <c r="C481" s="301" t="s">
        <v>638</v>
      </c>
      <c r="D481" s="251" t="s">
        <v>639</v>
      </c>
      <c r="E481" s="252" t="s">
        <v>289</v>
      </c>
      <c r="F481" s="251">
        <v>25</v>
      </c>
      <c r="G481" s="303">
        <v>0.79</v>
      </c>
      <c r="H481" s="303">
        <v>3.98</v>
      </c>
      <c r="I481" s="251"/>
      <c r="J481" s="272">
        <f t="shared" si="191"/>
        <v>4.7699999999999996</v>
      </c>
      <c r="K481" s="272">
        <f t="shared" si="192"/>
        <v>119.24999999999999</v>
      </c>
      <c r="L481" s="273"/>
      <c r="M481" s="274">
        <f t="shared" si="193"/>
        <v>0</v>
      </c>
      <c r="N481" s="275"/>
      <c r="O481" s="276">
        <f t="shared" si="194"/>
        <v>0</v>
      </c>
      <c r="P481" s="273">
        <f t="shared" si="195"/>
        <v>0</v>
      </c>
      <c r="Q481" s="276">
        <f t="shared" si="196"/>
        <v>0</v>
      </c>
      <c r="R481" s="277">
        <f t="shared" si="197"/>
        <v>0</v>
      </c>
      <c r="S481" s="276">
        <f t="shared" si="198"/>
        <v>25</v>
      </c>
      <c r="T481" s="276">
        <f t="shared" si="199"/>
        <v>119.24999999999999</v>
      </c>
      <c r="U481" s="276"/>
      <c r="V481" s="249"/>
      <c r="W481" s="278"/>
      <c r="X481" s="279"/>
      <c r="Y481" s="249"/>
      <c r="Z481" s="265"/>
    </row>
    <row r="482" spans="2:26" ht="18" customHeight="1">
      <c r="B482" s="266">
        <f t="shared" si="169"/>
        <v>439</v>
      </c>
      <c r="C482" s="301" t="s">
        <v>640</v>
      </c>
      <c r="D482" s="251" t="s">
        <v>641</v>
      </c>
      <c r="E482" s="252" t="s">
        <v>158</v>
      </c>
      <c r="F482" s="251">
        <v>1</v>
      </c>
      <c r="G482" s="303">
        <v>804.67</v>
      </c>
      <c r="H482" s="303">
        <v>21196.92</v>
      </c>
      <c r="I482" s="251"/>
      <c r="J482" s="272">
        <f t="shared" si="191"/>
        <v>22001.589999999997</v>
      </c>
      <c r="K482" s="272">
        <f t="shared" si="192"/>
        <v>22001.589999999997</v>
      </c>
      <c r="L482" s="273"/>
      <c r="M482" s="274">
        <f t="shared" si="193"/>
        <v>0</v>
      </c>
      <c r="N482" s="275"/>
      <c r="O482" s="276">
        <f t="shared" si="194"/>
        <v>0</v>
      </c>
      <c r="P482" s="273">
        <f t="shared" si="195"/>
        <v>0</v>
      </c>
      <c r="Q482" s="276">
        <f t="shared" si="196"/>
        <v>0</v>
      </c>
      <c r="R482" s="277">
        <f t="shared" si="197"/>
        <v>0</v>
      </c>
      <c r="S482" s="276">
        <f t="shared" si="198"/>
        <v>1</v>
      </c>
      <c r="T482" s="276">
        <f t="shared" si="199"/>
        <v>22001.589999999997</v>
      </c>
      <c r="U482" s="276"/>
      <c r="V482" s="249"/>
      <c r="W482" s="278"/>
      <c r="X482" s="279"/>
      <c r="Y482" s="249"/>
      <c r="Z482" s="265"/>
    </row>
    <row r="483" spans="2:26" ht="18" customHeight="1">
      <c r="B483" s="266">
        <f t="shared" si="169"/>
        <v>440</v>
      </c>
      <c r="C483" s="301" t="s">
        <v>642</v>
      </c>
      <c r="D483" s="251" t="s">
        <v>643</v>
      </c>
      <c r="E483" s="252" t="s">
        <v>158</v>
      </c>
      <c r="F483" s="251">
        <v>1</v>
      </c>
      <c r="G483" s="303">
        <v>1072.8900000000001</v>
      </c>
      <c r="H483" s="303">
        <v>12613.28</v>
      </c>
      <c r="I483" s="251"/>
      <c r="J483" s="272">
        <f t="shared" si="191"/>
        <v>13686.17</v>
      </c>
      <c r="K483" s="272">
        <f t="shared" si="192"/>
        <v>13686.17</v>
      </c>
      <c r="L483" s="273"/>
      <c r="M483" s="274">
        <f t="shared" si="193"/>
        <v>0</v>
      </c>
      <c r="N483" s="275"/>
      <c r="O483" s="276">
        <f t="shared" si="194"/>
        <v>0</v>
      </c>
      <c r="P483" s="273">
        <f t="shared" si="195"/>
        <v>0</v>
      </c>
      <c r="Q483" s="276">
        <f t="shared" si="196"/>
        <v>0</v>
      </c>
      <c r="R483" s="277">
        <f t="shared" si="197"/>
        <v>0</v>
      </c>
      <c r="S483" s="276">
        <f t="shared" si="198"/>
        <v>1</v>
      </c>
      <c r="T483" s="276">
        <f t="shared" si="199"/>
        <v>13686.17</v>
      </c>
      <c r="U483" s="276"/>
      <c r="V483" s="249"/>
      <c r="W483" s="278"/>
      <c r="X483" s="279"/>
      <c r="Y483" s="249"/>
      <c r="Z483" s="265"/>
    </row>
    <row r="484" spans="2:26" ht="18" customHeight="1">
      <c r="B484" s="266">
        <f t="shared" si="169"/>
        <v>441</v>
      </c>
      <c r="C484" s="301"/>
      <c r="D484" s="251"/>
      <c r="E484" s="252"/>
      <c r="F484" s="251"/>
      <c r="G484" s="303"/>
      <c r="H484" s="303"/>
      <c r="I484" s="251"/>
      <c r="J484" s="272"/>
      <c r="K484" s="272"/>
      <c r="L484" s="273"/>
      <c r="M484" s="274"/>
      <c r="N484" s="275"/>
      <c r="O484" s="276"/>
      <c r="P484" s="273"/>
      <c r="Q484" s="276"/>
      <c r="R484" s="277"/>
      <c r="S484" s="276"/>
      <c r="T484" s="276"/>
      <c r="U484" s="276"/>
      <c r="V484" s="249">
        <v>0</v>
      </c>
      <c r="W484" s="278">
        <f t="shared" ref="W484:W489" si="200">M484-V484</f>
        <v>0</v>
      </c>
      <c r="X484" s="279"/>
      <c r="Y484" s="249"/>
      <c r="Z484" s="265"/>
    </row>
    <row r="485" spans="2:26" s="304" customFormat="1" ht="18" customHeight="1">
      <c r="B485" s="281">
        <f t="shared" si="169"/>
        <v>442</v>
      </c>
      <c r="C485" s="305" t="s">
        <v>171</v>
      </c>
      <c r="D485" s="306"/>
      <c r="E485" s="307"/>
      <c r="F485" s="306"/>
      <c r="G485" s="308"/>
      <c r="H485" s="308"/>
      <c r="I485" s="306"/>
      <c r="J485" s="287"/>
      <c r="K485" s="309">
        <f>SUM(K478:K484)</f>
        <v>73980.800000000003</v>
      </c>
      <c r="L485" s="288"/>
      <c r="M485" s="290">
        <f>SUM(M478:M484)</f>
        <v>0</v>
      </c>
      <c r="N485" s="288"/>
      <c r="O485" s="290">
        <f>SUM(O478:O484)</f>
        <v>0</v>
      </c>
      <c r="P485" s="288"/>
      <c r="Q485" s="290">
        <f>SUM(Q478:Q484)</f>
        <v>0</v>
      </c>
      <c r="R485" s="289">
        <f>IFERROR(+Q485/K485,0)</f>
        <v>0</v>
      </c>
      <c r="S485" s="290"/>
      <c r="T485" s="290">
        <f>SUM(T478:T484)</f>
        <v>73980.800000000003</v>
      </c>
      <c r="U485" s="290"/>
      <c r="V485" s="249">
        <v>148602.78349999999</v>
      </c>
      <c r="W485" s="278">
        <f t="shared" si="200"/>
        <v>-148602.78349999999</v>
      </c>
      <c r="X485" s="279"/>
      <c r="Y485" s="249"/>
      <c r="Z485" s="265"/>
    </row>
    <row r="486" spans="2:26" s="217" customFormat="1" ht="18" customHeight="1">
      <c r="B486" s="260">
        <f t="shared" si="169"/>
        <v>443</v>
      </c>
      <c r="C486" s="291" t="s">
        <v>644</v>
      </c>
      <c r="D486" s="310"/>
      <c r="E486" s="293"/>
      <c r="F486" s="310"/>
      <c r="G486" s="311"/>
      <c r="H486" s="311"/>
      <c r="I486" s="310"/>
      <c r="J486" s="295"/>
      <c r="K486" s="295"/>
      <c r="L486" s="299"/>
      <c r="M486" s="296"/>
      <c r="N486" s="297"/>
      <c r="O486" s="298"/>
      <c r="P486" s="299"/>
      <c r="Q486" s="298"/>
      <c r="R486" s="300"/>
      <c r="S486" s="298"/>
      <c r="T486" s="298"/>
      <c r="U486" s="298"/>
      <c r="V486" s="249"/>
      <c r="W486" s="278">
        <f t="shared" si="200"/>
        <v>0</v>
      </c>
      <c r="X486" s="279"/>
      <c r="Y486" s="249"/>
      <c r="Z486" s="265"/>
    </row>
    <row r="487" spans="2:26" ht="18" customHeight="1">
      <c r="B487" s="266">
        <f t="shared" si="169"/>
        <v>444</v>
      </c>
      <c r="C487" s="301" t="s">
        <v>645</v>
      </c>
      <c r="D487" s="251" t="s">
        <v>634</v>
      </c>
      <c r="E487" s="252" t="s">
        <v>289</v>
      </c>
      <c r="F487" s="251">
        <v>4923</v>
      </c>
      <c r="G487" s="303">
        <v>0</v>
      </c>
      <c r="H487" s="303">
        <v>0</v>
      </c>
      <c r="I487" s="251"/>
      <c r="J487" s="272">
        <f>I487+H487+G487</f>
        <v>0</v>
      </c>
      <c r="K487" s="272">
        <f>J487*F487</f>
        <v>0</v>
      </c>
      <c r="L487" s="273"/>
      <c r="M487" s="274">
        <f>L487*J487</f>
        <v>0</v>
      </c>
      <c r="N487" s="275"/>
      <c r="O487" s="276">
        <f>N487*J487</f>
        <v>0</v>
      </c>
      <c r="P487" s="273">
        <f>N487+L487</f>
        <v>0</v>
      </c>
      <c r="Q487" s="276">
        <f>P487*J487</f>
        <v>0</v>
      </c>
      <c r="R487" s="277">
        <f>IFERROR(Q487/K487,0)</f>
        <v>0</v>
      </c>
      <c r="S487" s="276">
        <f>F487-P487</f>
        <v>4923</v>
      </c>
      <c r="T487" s="276">
        <f>K487-Q487</f>
        <v>0</v>
      </c>
      <c r="U487" s="276"/>
      <c r="V487" s="249">
        <v>0</v>
      </c>
      <c r="W487" s="278">
        <f t="shared" si="200"/>
        <v>0</v>
      </c>
      <c r="X487" s="279"/>
      <c r="Y487" s="249"/>
      <c r="Z487" s="313"/>
    </row>
    <row r="488" spans="2:26" ht="18" customHeight="1">
      <c r="B488" s="266">
        <f t="shared" si="169"/>
        <v>445</v>
      </c>
      <c r="C488" s="301"/>
      <c r="D488" s="251"/>
      <c r="E488" s="252"/>
      <c r="F488" s="251"/>
      <c r="G488" s="251"/>
      <c r="H488" s="251"/>
      <c r="I488" s="251"/>
      <c r="J488" s="272"/>
      <c r="K488" s="272"/>
      <c r="L488" s="273"/>
      <c r="M488" s="274"/>
      <c r="N488" s="275"/>
      <c r="O488" s="276"/>
      <c r="P488" s="273"/>
      <c r="Q488" s="276"/>
      <c r="R488" s="277"/>
      <c r="S488" s="276"/>
      <c r="T488" s="276"/>
      <c r="U488" s="276"/>
      <c r="V488" s="249">
        <v>0</v>
      </c>
      <c r="W488" s="278">
        <f t="shared" si="200"/>
        <v>0</v>
      </c>
      <c r="X488" s="279"/>
      <c r="Y488" s="249"/>
      <c r="Z488" s="265"/>
    </row>
    <row r="489" spans="2:26" s="304" customFormat="1" ht="18" customHeight="1">
      <c r="B489" s="281">
        <f t="shared" si="169"/>
        <v>446</v>
      </c>
      <c r="C489" s="305" t="s">
        <v>171</v>
      </c>
      <c r="D489" s="306"/>
      <c r="E489" s="307"/>
      <c r="F489" s="306"/>
      <c r="G489" s="306"/>
      <c r="H489" s="306"/>
      <c r="I489" s="306"/>
      <c r="J489" s="287"/>
      <c r="K489" s="309">
        <f>SUM(K487:K488)</f>
        <v>0</v>
      </c>
      <c r="L489" s="288"/>
      <c r="M489" s="290">
        <f>SUM(M487:M488)</f>
        <v>0</v>
      </c>
      <c r="N489" s="288"/>
      <c r="O489" s="290">
        <f>SUM(O487:O488)</f>
        <v>0</v>
      </c>
      <c r="P489" s="288"/>
      <c r="Q489" s="290">
        <f>SUM(Q487:Q488)</f>
        <v>0</v>
      </c>
      <c r="R489" s="289">
        <f>IFERROR(+Q489/K489,0)</f>
        <v>0</v>
      </c>
      <c r="S489" s="290"/>
      <c r="T489" s="290">
        <f>SUM(T487:T488)</f>
        <v>0</v>
      </c>
      <c r="U489" s="290"/>
      <c r="V489" s="249">
        <v>2913982.4307800001</v>
      </c>
      <c r="W489" s="278">
        <f t="shared" si="200"/>
        <v>-2913982.4307800001</v>
      </c>
      <c r="X489" s="279"/>
      <c r="Y489" s="249"/>
      <c r="Z489" s="265"/>
    </row>
  </sheetData>
  <mergeCells count="18">
    <mergeCell ref="U9:U11"/>
    <mergeCell ref="L10:M10"/>
    <mergeCell ref="N10:O10"/>
    <mergeCell ref="S8:T8"/>
    <mergeCell ref="B9:B11"/>
    <mergeCell ref="C9:C11"/>
    <mergeCell ref="D9:D11"/>
    <mergeCell ref="E9:E11"/>
    <mergeCell ref="F9:K10"/>
    <mergeCell ref="L9:O9"/>
    <mergeCell ref="P9:Q10"/>
    <mergeCell ref="R9:R11"/>
    <mergeCell ref="S9:T10"/>
    <mergeCell ref="C8:E8"/>
    <mergeCell ref="F8:K8"/>
    <mergeCell ref="L8:M8"/>
    <mergeCell ref="N8:O8"/>
    <mergeCell ref="P8:R8"/>
  </mergeCells>
  <phoneticPr fontId="35" type="noConversion"/>
  <pageMargins left="0.7" right="0.7" top="0.75" bottom="0.7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1_PROGRESS PAYMENT</vt:lpstr>
      <vt:lpstr>2_APPLICATION</vt:lpstr>
      <vt:lpstr>3_CONTINUATION SHEET</vt:lpstr>
      <vt:lpstr>'1_PROGRESS PAYMENT'!Print_Area</vt:lpstr>
      <vt:lpstr>'2_APPLICATION'!Print_Area</vt:lpstr>
      <vt:lpstr>'3_CONTINUATION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nahshon mep</dc:creator>
  <cp:lastModifiedBy>nahshon mep</cp:lastModifiedBy>
  <dcterms:created xsi:type="dcterms:W3CDTF">2026-09-19T01:39:25Z</dcterms:created>
  <dcterms:modified xsi:type="dcterms:W3CDTF">2026-09-19T01:39:25Z</dcterms:modified>
</cp:coreProperties>
</file>